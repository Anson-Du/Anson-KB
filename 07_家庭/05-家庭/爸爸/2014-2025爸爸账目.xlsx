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ansong.dys\Pictures\Anson\爸爸\"/>
    </mc:Choice>
  </mc:AlternateContent>
  <xr:revisionPtr revIDLastSave="0" documentId="13_ncr:1_{FEF6B84F-18E8-4CAB-9288-1E2F2D04D1F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现金流" sheetId="1" r:id="rId1"/>
    <sheet name="情谊" sheetId="2" r:id="rId2"/>
  </sheets>
  <definedNames>
    <definedName name="_xlnm._FilterDatabase" localSheetId="0" hidden="1">现金流!$D$1:$D$249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0" i="1" l="1"/>
  <c r="B2" i="1"/>
  <c r="B263" i="1"/>
  <c r="C224" i="1"/>
  <c r="C243" i="1"/>
  <c r="B260" i="1" s="1"/>
  <c r="B262" i="1"/>
  <c r="B258" i="1"/>
  <c r="B257" i="1"/>
  <c r="B254" i="1"/>
  <c r="B255" i="1" s="1"/>
  <c r="B259" i="1"/>
  <c r="B261" i="1"/>
  <c r="C244" i="1"/>
  <c r="C236" i="1"/>
  <c r="C234" i="1"/>
  <c r="C231" i="1"/>
  <c r="C229" i="1"/>
  <c r="C227" i="1"/>
  <c r="C226" i="1"/>
  <c r="C223" i="1"/>
  <c r="C222" i="1"/>
  <c r="C219" i="1"/>
  <c r="C217" i="1"/>
  <c r="C216" i="1"/>
  <c r="C215" i="1"/>
  <c r="C187" i="1"/>
  <c r="B183" i="1"/>
  <c r="C119" i="1"/>
  <c r="C116" i="1"/>
  <c r="C111" i="1"/>
  <c r="C112" i="1"/>
  <c r="C108" i="1"/>
  <c r="C107" i="1"/>
  <c r="C105" i="1"/>
  <c r="C102" i="1"/>
  <c r="C101" i="1"/>
  <c r="C100" i="1"/>
  <c r="C84" i="1"/>
  <c r="C83" i="1"/>
  <c r="C82" i="1"/>
  <c r="C79" i="1"/>
  <c r="C41" i="1"/>
  <c r="C33" i="1"/>
  <c r="C26" i="1"/>
  <c r="C19" i="1"/>
  <c r="C2" i="1" s="1"/>
  <c r="D2" i="1" l="1"/>
  <c r="B264" i="1" s="1"/>
</calcChain>
</file>

<file path=xl/sharedStrings.xml><?xml version="1.0" encoding="utf-8"?>
<sst xmlns="http://schemas.openxmlformats.org/spreadsheetml/2006/main" count="296" uniqueCount="141">
  <si>
    <t>2014年春节</t>
    <phoneticPr fontId="1" type="noConversion"/>
  </si>
  <si>
    <t>收</t>
    <phoneticPr fontId="1" type="noConversion"/>
  </si>
  <si>
    <t>支</t>
    <phoneticPr fontId="1" type="noConversion"/>
  </si>
  <si>
    <t>松汇款</t>
    <phoneticPr fontId="1" type="noConversion"/>
  </si>
  <si>
    <t>节日红包</t>
    <phoneticPr fontId="1" type="noConversion"/>
  </si>
  <si>
    <t>春节红包</t>
    <phoneticPr fontId="1" type="noConversion"/>
  </si>
  <si>
    <t>2015年春节</t>
    <phoneticPr fontId="1" type="noConversion"/>
  </si>
  <si>
    <t>买皮衣两件</t>
    <phoneticPr fontId="1" type="noConversion"/>
  </si>
  <si>
    <t>买多星锅</t>
    <phoneticPr fontId="1" type="noConversion"/>
  </si>
  <si>
    <t>红玉结婚</t>
    <phoneticPr fontId="1" type="noConversion"/>
  </si>
  <si>
    <t>疝气手术</t>
    <phoneticPr fontId="1" type="noConversion"/>
  </si>
  <si>
    <t>术后零碎花销</t>
    <phoneticPr fontId="1" type="noConversion"/>
  </si>
  <si>
    <t>家政</t>
    <phoneticPr fontId="1" type="noConversion"/>
  </si>
  <si>
    <t>收房租押金</t>
    <phoneticPr fontId="1" type="noConversion"/>
  </si>
  <si>
    <t>结手术药费</t>
    <phoneticPr fontId="1" type="noConversion"/>
  </si>
  <si>
    <t>曲政结婚</t>
    <phoneticPr fontId="1" type="noConversion"/>
  </si>
  <si>
    <t>买药</t>
    <phoneticPr fontId="1" type="noConversion"/>
  </si>
  <si>
    <t>爸爸存入</t>
    <phoneticPr fontId="1" type="noConversion"/>
  </si>
  <si>
    <t>买涂料</t>
    <phoneticPr fontId="1" type="noConversion"/>
  </si>
  <si>
    <t>买钙片</t>
    <phoneticPr fontId="1" type="noConversion"/>
  </si>
  <si>
    <t>返房租押金</t>
    <phoneticPr fontId="1" type="noConversion"/>
  </si>
  <si>
    <t>买多维生素</t>
    <phoneticPr fontId="1" type="noConversion"/>
  </si>
  <si>
    <t>买肺胶囊</t>
    <phoneticPr fontId="1" type="noConversion"/>
  </si>
  <si>
    <t>退房租押金</t>
    <phoneticPr fontId="1" type="noConversion"/>
  </si>
  <si>
    <t>买衣服</t>
    <phoneticPr fontId="1" type="noConversion"/>
  </si>
  <si>
    <t>维修房子</t>
    <phoneticPr fontId="1" type="noConversion"/>
  </si>
  <si>
    <t>红玉生儿子</t>
    <phoneticPr fontId="1" type="noConversion"/>
  </si>
  <si>
    <t>生日江妍红包</t>
    <phoneticPr fontId="1" type="noConversion"/>
  </si>
  <si>
    <t>住院预缴</t>
    <phoneticPr fontId="1" type="noConversion"/>
  </si>
  <si>
    <t>住院高间费</t>
    <phoneticPr fontId="1" type="noConversion"/>
  </si>
  <si>
    <t>住院餐费</t>
    <phoneticPr fontId="1" type="noConversion"/>
  </si>
  <si>
    <t>出院结算退款</t>
    <phoneticPr fontId="1" type="noConversion"/>
  </si>
  <si>
    <t>拔牙补牙</t>
    <phoneticPr fontId="1" type="noConversion"/>
  </si>
  <si>
    <t>镶牙</t>
    <phoneticPr fontId="1" type="noConversion"/>
  </si>
  <si>
    <t>维生素D</t>
    <phoneticPr fontId="1" type="noConversion"/>
  </si>
  <si>
    <t>交养老院租金</t>
    <phoneticPr fontId="1" type="noConversion"/>
  </si>
  <si>
    <t>8月</t>
    <phoneticPr fontId="1" type="noConversion"/>
  </si>
  <si>
    <t>9月</t>
    <phoneticPr fontId="1" type="noConversion"/>
  </si>
  <si>
    <t>修房顶</t>
    <phoneticPr fontId="1" type="noConversion"/>
  </si>
  <si>
    <t>通下水</t>
    <phoneticPr fontId="1" type="noConversion"/>
  </si>
  <si>
    <t>10月</t>
    <phoneticPr fontId="1" type="noConversion"/>
  </si>
  <si>
    <t>买善存</t>
    <phoneticPr fontId="1" type="noConversion"/>
  </si>
  <si>
    <t>12月</t>
    <phoneticPr fontId="1" type="noConversion"/>
  </si>
  <si>
    <t>制氧仪</t>
    <phoneticPr fontId="1" type="noConversion"/>
  </si>
  <si>
    <t>医院检查</t>
    <phoneticPr fontId="1" type="noConversion"/>
  </si>
  <si>
    <t>2月</t>
    <phoneticPr fontId="1" type="noConversion"/>
  </si>
  <si>
    <t>3月</t>
    <phoneticPr fontId="1" type="noConversion"/>
  </si>
  <si>
    <t>如家</t>
    <phoneticPr fontId="1" type="noConversion"/>
  </si>
  <si>
    <t>4月</t>
    <phoneticPr fontId="1" type="noConversion"/>
  </si>
  <si>
    <t>取工资卡用于上海旅游</t>
    <phoneticPr fontId="1" type="noConversion"/>
  </si>
  <si>
    <t>5月</t>
    <phoneticPr fontId="1" type="noConversion"/>
  </si>
  <si>
    <t>氧气</t>
    <phoneticPr fontId="1" type="noConversion"/>
  </si>
  <si>
    <t>顺风车</t>
    <phoneticPr fontId="1" type="noConversion"/>
  </si>
  <si>
    <t>民宿</t>
    <phoneticPr fontId="1" type="noConversion"/>
  </si>
  <si>
    <t>吃饭</t>
    <phoneticPr fontId="1" type="noConversion"/>
  </si>
  <si>
    <t>磁悬浮</t>
    <phoneticPr fontId="1" type="noConversion"/>
  </si>
  <si>
    <t>宾馆</t>
    <phoneticPr fontId="1" type="noConversion"/>
  </si>
  <si>
    <t>晚餐</t>
    <phoneticPr fontId="1" type="noConversion"/>
  </si>
  <si>
    <t>早餐</t>
    <phoneticPr fontId="1" type="noConversion"/>
  </si>
  <si>
    <t>打车</t>
    <phoneticPr fontId="1" type="noConversion"/>
  </si>
  <si>
    <t>酒店</t>
    <phoneticPr fontId="1" type="noConversion"/>
  </si>
  <si>
    <t>餐费</t>
    <phoneticPr fontId="1" type="noConversion"/>
  </si>
  <si>
    <t>东方明珠</t>
    <phoneticPr fontId="1" type="noConversion"/>
  </si>
  <si>
    <t>转旅行费用给松</t>
    <phoneticPr fontId="1" type="noConversion"/>
  </si>
  <si>
    <t>6月</t>
    <phoneticPr fontId="1" type="noConversion"/>
  </si>
  <si>
    <t>住院杂费</t>
    <phoneticPr fontId="1" type="noConversion"/>
  </si>
  <si>
    <t>药费</t>
    <phoneticPr fontId="1" type="noConversion"/>
  </si>
  <si>
    <t>护工工资</t>
    <phoneticPr fontId="1" type="noConversion"/>
  </si>
  <si>
    <t>气垫床垫松支付</t>
    <phoneticPr fontId="1" type="noConversion"/>
  </si>
  <si>
    <t>住院费</t>
    <phoneticPr fontId="1" type="noConversion"/>
  </si>
  <si>
    <t>哈中医住院费预缴</t>
    <phoneticPr fontId="1" type="noConversion"/>
  </si>
  <si>
    <t>哈尔滨餐费</t>
    <phoneticPr fontId="1" type="noConversion"/>
  </si>
  <si>
    <t>理疗</t>
    <phoneticPr fontId="1" type="noConversion"/>
  </si>
  <si>
    <t>电池</t>
    <phoneticPr fontId="1" type="noConversion"/>
  </si>
  <si>
    <t>午餐</t>
    <phoneticPr fontId="1" type="noConversion"/>
  </si>
  <si>
    <t>餐费水果</t>
    <phoneticPr fontId="1" type="noConversion"/>
  </si>
  <si>
    <t>绥化住院费预缴</t>
    <phoneticPr fontId="1" type="noConversion"/>
  </si>
  <si>
    <t>利仁康结算退款</t>
    <phoneticPr fontId="1" type="noConversion"/>
  </si>
  <si>
    <t>绥化住院结算退款</t>
    <phoneticPr fontId="1" type="noConversion"/>
  </si>
  <si>
    <t>庆安住院费预缴</t>
    <phoneticPr fontId="1" type="noConversion"/>
  </si>
  <si>
    <t>装老衣服</t>
    <phoneticPr fontId="1" type="noConversion"/>
  </si>
  <si>
    <t>庆安住院费结算退款</t>
    <phoneticPr fontId="1" type="noConversion"/>
  </si>
  <si>
    <t>庆安住院费</t>
    <phoneticPr fontId="1" type="noConversion"/>
  </si>
  <si>
    <t>社保卡取款</t>
    <phoneticPr fontId="1" type="noConversion"/>
  </si>
  <si>
    <t>杂费</t>
    <phoneticPr fontId="1" type="noConversion"/>
  </si>
  <si>
    <t>养老金工资卡取款</t>
    <phoneticPr fontId="1" type="noConversion"/>
  </si>
  <si>
    <t>松转账</t>
    <phoneticPr fontId="1" type="noConversion"/>
  </si>
  <si>
    <t>住院费报销</t>
    <phoneticPr fontId="1" type="noConversion"/>
  </si>
  <si>
    <t>庆安住院费补缴</t>
    <phoneticPr fontId="1" type="noConversion"/>
  </si>
  <si>
    <t>120车费</t>
    <phoneticPr fontId="1" type="noConversion"/>
  </si>
  <si>
    <t>老姑红包</t>
    <phoneticPr fontId="1" type="noConversion"/>
  </si>
  <si>
    <t>娜垫付养老院</t>
    <phoneticPr fontId="1" type="noConversion"/>
  </si>
  <si>
    <t>养老院房租</t>
    <phoneticPr fontId="1" type="noConversion"/>
  </si>
  <si>
    <t>庆安住院预缴（虎）</t>
    <phoneticPr fontId="1" type="noConversion"/>
  </si>
  <si>
    <t>2日</t>
    <phoneticPr fontId="1" type="noConversion"/>
  </si>
  <si>
    <t>3日</t>
    <phoneticPr fontId="1" type="noConversion"/>
  </si>
  <si>
    <t>4日</t>
    <phoneticPr fontId="1" type="noConversion"/>
  </si>
  <si>
    <t>5日</t>
    <phoneticPr fontId="1" type="noConversion"/>
  </si>
  <si>
    <t>6日</t>
    <phoneticPr fontId="1" type="noConversion"/>
  </si>
  <si>
    <t>7日</t>
    <phoneticPr fontId="1" type="noConversion"/>
  </si>
  <si>
    <t>8日</t>
    <phoneticPr fontId="1" type="noConversion"/>
  </si>
  <si>
    <t>9日</t>
    <phoneticPr fontId="1" type="noConversion"/>
  </si>
  <si>
    <t>10日</t>
    <phoneticPr fontId="1" type="noConversion"/>
  </si>
  <si>
    <t>11日</t>
    <phoneticPr fontId="1" type="noConversion"/>
  </si>
  <si>
    <t>12日</t>
    <phoneticPr fontId="1" type="noConversion"/>
  </si>
  <si>
    <t>13日</t>
    <phoneticPr fontId="1" type="noConversion"/>
  </si>
  <si>
    <t>庆安住院预缴</t>
    <phoneticPr fontId="1" type="noConversion"/>
  </si>
  <si>
    <t>14日</t>
    <phoneticPr fontId="1" type="noConversion"/>
  </si>
  <si>
    <t>15日</t>
    <phoneticPr fontId="1" type="noConversion"/>
  </si>
  <si>
    <t>丧葬费</t>
    <phoneticPr fontId="1" type="noConversion"/>
  </si>
  <si>
    <t>16日</t>
    <phoneticPr fontId="1" type="noConversion"/>
  </si>
  <si>
    <t>庆安住院缴费</t>
    <phoneticPr fontId="1" type="noConversion"/>
  </si>
  <si>
    <t>庆安住院结算退款</t>
    <phoneticPr fontId="1" type="noConversion"/>
  </si>
  <si>
    <t>庆安住院结算待退款</t>
    <phoneticPr fontId="1" type="noConversion"/>
  </si>
  <si>
    <t>17日</t>
    <phoneticPr fontId="1" type="noConversion"/>
  </si>
  <si>
    <t>庆安鑫鹏酒店</t>
    <phoneticPr fontId="1" type="noConversion"/>
  </si>
  <si>
    <t>养老院房租结算退款</t>
    <phoneticPr fontId="1" type="noConversion"/>
  </si>
  <si>
    <t>丧葬费餐费</t>
    <phoneticPr fontId="1" type="noConversion"/>
  </si>
  <si>
    <t>丧葬费先生费</t>
    <phoneticPr fontId="1" type="noConversion"/>
  </si>
  <si>
    <t>丧葬费（火化开墓封墓理容刻碑）</t>
    <phoneticPr fontId="1" type="noConversion"/>
  </si>
  <si>
    <t>骨灰盒</t>
    <phoneticPr fontId="1" type="noConversion"/>
  </si>
  <si>
    <t>李红梅</t>
    <phoneticPr fontId="1" type="noConversion"/>
  </si>
  <si>
    <t>韩冷</t>
    <phoneticPr fontId="1" type="noConversion"/>
  </si>
  <si>
    <t>陈新达</t>
    <phoneticPr fontId="1" type="noConversion"/>
  </si>
  <si>
    <t>二哥</t>
    <phoneticPr fontId="1" type="noConversion"/>
  </si>
  <si>
    <t>工资卡账户余额</t>
    <phoneticPr fontId="1" type="noConversion"/>
  </si>
  <si>
    <t>社保卡账户余额</t>
    <phoneticPr fontId="1" type="noConversion"/>
  </si>
  <si>
    <t>返娜垫付</t>
    <phoneticPr fontId="1" type="noConversion"/>
  </si>
  <si>
    <t>自费药费</t>
    <phoneticPr fontId="1" type="noConversion"/>
  </si>
  <si>
    <t>住院结算报销</t>
    <phoneticPr fontId="1" type="noConversion"/>
  </si>
  <si>
    <t>住院自费费用</t>
    <phoneticPr fontId="1" type="noConversion"/>
  </si>
  <si>
    <t>平房房租净收益</t>
    <phoneticPr fontId="1" type="noConversion"/>
  </si>
  <si>
    <t>工资社保卡取款</t>
    <phoneticPr fontId="1" type="noConversion"/>
  </si>
  <si>
    <t>上海杭州旅行</t>
    <phoneticPr fontId="1" type="noConversion"/>
  </si>
  <si>
    <t>入住养老院</t>
    <phoneticPr fontId="1" type="noConversion"/>
  </si>
  <si>
    <t>松转账（养老院）</t>
    <phoneticPr fontId="1" type="noConversion"/>
  </si>
  <si>
    <t>丧葬费（纸）</t>
    <phoneticPr fontId="1" type="noConversion"/>
  </si>
  <si>
    <t>松转账（手写板）</t>
    <phoneticPr fontId="1" type="noConversion"/>
  </si>
  <si>
    <t>住院杂费（松）</t>
    <phoneticPr fontId="1" type="noConversion"/>
  </si>
  <si>
    <t>剩余现金</t>
    <phoneticPr fontId="1" type="noConversion"/>
  </si>
  <si>
    <t>地下室卖房款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</si>
</sst>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31" fontId="0" fillId="0" borderId="0" xfId="0" applyNumberFormat="1" applyAlignment="1">
      <alignment horizontal="right"/>
    </xf>
    <xf numFmtId="57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"/>
  <sheetViews>
    <sheetView tabSelected="1" topLeftCell="A247" zoomScale="200" zoomScaleNormal="200" workbookViewId="0">
      <selection activeCell="F254" sqref="F254"/>
    </sheetView>
  </sheetViews>
  <sheetFormatPr defaultRowHeight="13.8" x14ac:dyDescent="0.25"/>
  <cols>
    <col min="1" max="1" width="15.77734375" style="1" customWidth="1"/>
    <col min="2" max="2" width="12" customWidth="1"/>
    <col min="3" max="3" width="11.44140625" customWidth="1"/>
    <col min="4" max="4" width="13.6640625" customWidth="1"/>
  </cols>
  <sheetData>
    <row r="1" spans="1:4" x14ac:dyDescent="0.25">
      <c r="B1" t="s">
        <v>1</v>
      </c>
      <c r="C1" t="s">
        <v>2</v>
      </c>
    </row>
    <row r="2" spans="1:4" x14ac:dyDescent="0.25">
      <c r="B2">
        <f>SUM(B3:B249)</f>
        <v>571127.97</v>
      </c>
      <c r="C2">
        <f>SUM(C3:C249)</f>
        <v>-560699.4</v>
      </c>
      <c r="D2">
        <f>B2+C2</f>
        <v>10428.569999999949</v>
      </c>
    </row>
    <row r="3" spans="1:4" x14ac:dyDescent="0.25">
      <c r="A3" s="1" t="s">
        <v>0</v>
      </c>
      <c r="B3">
        <v>5000</v>
      </c>
      <c r="D3" t="s">
        <v>3</v>
      </c>
    </row>
    <row r="4" spans="1:4" x14ac:dyDescent="0.25">
      <c r="C4">
        <v>-3000</v>
      </c>
      <c r="D4" t="s">
        <v>5</v>
      </c>
    </row>
    <row r="5" spans="1:4" x14ac:dyDescent="0.25">
      <c r="C5">
        <v>-1000</v>
      </c>
      <c r="D5" t="s">
        <v>4</v>
      </c>
    </row>
    <row r="6" spans="1:4" x14ac:dyDescent="0.25">
      <c r="C6">
        <v>-500</v>
      </c>
      <c r="D6" t="s">
        <v>4</v>
      </c>
    </row>
    <row r="7" spans="1:4" x14ac:dyDescent="0.25">
      <c r="A7" s="1" t="s">
        <v>6</v>
      </c>
      <c r="B7">
        <v>5000</v>
      </c>
      <c r="D7" t="s">
        <v>3</v>
      </c>
    </row>
    <row r="8" spans="1:4" x14ac:dyDescent="0.25">
      <c r="C8">
        <v>-3200</v>
      </c>
      <c r="D8" t="s">
        <v>7</v>
      </c>
    </row>
    <row r="9" spans="1:4" x14ac:dyDescent="0.25">
      <c r="A9" s="2">
        <v>42460</v>
      </c>
      <c r="C9">
        <v>-320</v>
      </c>
      <c r="D9" t="s">
        <v>8</v>
      </c>
    </row>
    <row r="10" spans="1:4" x14ac:dyDescent="0.25">
      <c r="A10" s="2">
        <v>42477</v>
      </c>
      <c r="C10">
        <v>-1000</v>
      </c>
      <c r="D10" t="s">
        <v>9</v>
      </c>
    </row>
    <row r="11" spans="1:4" x14ac:dyDescent="0.25">
      <c r="A11" s="2">
        <v>42484</v>
      </c>
      <c r="C11">
        <v>-950</v>
      </c>
      <c r="D11" t="s">
        <v>10</v>
      </c>
    </row>
    <row r="12" spans="1:4" x14ac:dyDescent="0.25">
      <c r="A12" s="2">
        <v>42484</v>
      </c>
      <c r="C12">
        <v>-580</v>
      </c>
      <c r="D12" t="s">
        <v>11</v>
      </c>
    </row>
    <row r="13" spans="1:4" x14ac:dyDescent="0.25">
      <c r="A13" s="2">
        <v>42491</v>
      </c>
      <c r="B13">
        <v>5000</v>
      </c>
      <c r="D13" t="s">
        <v>3</v>
      </c>
    </row>
    <row r="14" spans="1:4" x14ac:dyDescent="0.25">
      <c r="C14">
        <v>-50</v>
      </c>
      <c r="D14" t="s">
        <v>12</v>
      </c>
    </row>
    <row r="15" spans="1:4" x14ac:dyDescent="0.25">
      <c r="A15" s="3">
        <v>42522</v>
      </c>
      <c r="B15">
        <v>950</v>
      </c>
      <c r="D15" t="s">
        <v>13</v>
      </c>
    </row>
    <row r="16" spans="1:4" x14ac:dyDescent="0.25">
      <c r="A16" s="3">
        <v>42553</v>
      </c>
      <c r="B16">
        <v>3000</v>
      </c>
      <c r="D16" t="s">
        <v>13</v>
      </c>
    </row>
    <row r="17" spans="1:5" x14ac:dyDescent="0.25">
      <c r="A17" s="3">
        <v>42584</v>
      </c>
      <c r="C17">
        <v>-2200</v>
      </c>
      <c r="D17" t="s">
        <v>14</v>
      </c>
    </row>
    <row r="18" spans="1:5" x14ac:dyDescent="0.25">
      <c r="A18" s="3">
        <v>42585</v>
      </c>
      <c r="C18">
        <v>-1000</v>
      </c>
      <c r="D18" t="s">
        <v>15</v>
      </c>
    </row>
    <row r="19" spans="1:5" x14ac:dyDescent="0.25">
      <c r="A19" s="3">
        <v>42617</v>
      </c>
      <c r="C19">
        <f>-95-180</f>
        <v>-275</v>
      </c>
      <c r="D19" t="s">
        <v>16</v>
      </c>
    </row>
    <row r="20" spans="1:5" x14ac:dyDescent="0.25">
      <c r="A20" s="3">
        <v>42644</v>
      </c>
      <c r="B20">
        <v>8000</v>
      </c>
      <c r="D20" t="s">
        <v>17</v>
      </c>
      <c r="E20" t="s">
        <v>134</v>
      </c>
    </row>
    <row r="21" spans="1:5" x14ac:dyDescent="0.25">
      <c r="A21" s="3"/>
      <c r="B21">
        <v>24000</v>
      </c>
      <c r="C21">
        <v>-24000</v>
      </c>
      <c r="D21" t="s">
        <v>135</v>
      </c>
    </row>
    <row r="22" spans="1:5" x14ac:dyDescent="0.25">
      <c r="C22">
        <v>-400</v>
      </c>
      <c r="D22" t="s">
        <v>18</v>
      </c>
    </row>
    <row r="23" spans="1:5" x14ac:dyDescent="0.25">
      <c r="C23">
        <v>-89</v>
      </c>
      <c r="D23" t="s">
        <v>19</v>
      </c>
    </row>
    <row r="24" spans="1:5" x14ac:dyDescent="0.25">
      <c r="A24" s="3">
        <v>42767</v>
      </c>
      <c r="C24">
        <v>-89</v>
      </c>
      <c r="D24" t="s">
        <v>19</v>
      </c>
    </row>
    <row r="25" spans="1:5" x14ac:dyDescent="0.25">
      <c r="A25" s="3">
        <v>42826</v>
      </c>
      <c r="B25">
        <v>700</v>
      </c>
      <c r="D25" t="s">
        <v>13</v>
      </c>
    </row>
    <row r="26" spans="1:5" x14ac:dyDescent="0.25">
      <c r="C26">
        <f>-83-150</f>
        <v>-233</v>
      </c>
      <c r="D26" t="s">
        <v>20</v>
      </c>
    </row>
    <row r="27" spans="1:5" x14ac:dyDescent="0.25">
      <c r="C27">
        <v>-158</v>
      </c>
      <c r="D27" t="s">
        <v>21</v>
      </c>
    </row>
    <row r="28" spans="1:5" x14ac:dyDescent="0.25">
      <c r="A28" s="3">
        <v>42856</v>
      </c>
      <c r="C28">
        <v>-516</v>
      </c>
      <c r="D28" t="s">
        <v>22</v>
      </c>
    </row>
    <row r="29" spans="1:5" x14ac:dyDescent="0.25">
      <c r="A29" s="3">
        <v>42888</v>
      </c>
      <c r="C29">
        <v>-480</v>
      </c>
      <c r="D29" t="s">
        <v>23</v>
      </c>
    </row>
    <row r="30" spans="1:5" x14ac:dyDescent="0.25">
      <c r="A30" s="3">
        <v>42917</v>
      </c>
      <c r="C30">
        <v>-315</v>
      </c>
      <c r="D30" t="s">
        <v>24</v>
      </c>
    </row>
    <row r="31" spans="1:5" x14ac:dyDescent="0.25">
      <c r="C31">
        <v>-150</v>
      </c>
      <c r="D31" t="s">
        <v>25</v>
      </c>
    </row>
    <row r="32" spans="1:5" x14ac:dyDescent="0.25">
      <c r="B32">
        <v>2500</v>
      </c>
      <c r="D32" t="s">
        <v>13</v>
      </c>
    </row>
    <row r="33" spans="1:4" x14ac:dyDescent="0.25">
      <c r="C33">
        <f>-940-776</f>
        <v>-1716</v>
      </c>
      <c r="D33" t="s">
        <v>24</v>
      </c>
    </row>
    <row r="34" spans="1:4" x14ac:dyDescent="0.25">
      <c r="C34">
        <v>-1000</v>
      </c>
      <c r="D34" t="s">
        <v>26</v>
      </c>
    </row>
    <row r="35" spans="1:4" x14ac:dyDescent="0.25">
      <c r="B35">
        <v>1300</v>
      </c>
      <c r="D35" t="s">
        <v>13</v>
      </c>
    </row>
    <row r="36" spans="1:4" x14ac:dyDescent="0.25">
      <c r="A36" s="3">
        <v>42979</v>
      </c>
      <c r="B36">
        <v>1000</v>
      </c>
      <c r="D36" t="s">
        <v>27</v>
      </c>
    </row>
    <row r="37" spans="1:4" x14ac:dyDescent="0.25">
      <c r="A37" s="3"/>
      <c r="B37">
        <v>24000</v>
      </c>
      <c r="C37">
        <v>-24000</v>
      </c>
      <c r="D37" t="s">
        <v>135</v>
      </c>
    </row>
    <row r="38" spans="1:4" x14ac:dyDescent="0.25">
      <c r="A38" s="3">
        <v>43132</v>
      </c>
      <c r="C38">
        <v>-116</v>
      </c>
      <c r="D38" t="s">
        <v>16</v>
      </c>
    </row>
    <row r="39" spans="1:4" x14ac:dyDescent="0.25">
      <c r="C39">
        <v>-600</v>
      </c>
      <c r="D39" t="s">
        <v>28</v>
      </c>
    </row>
    <row r="40" spans="1:4" x14ac:dyDescent="0.25">
      <c r="C40">
        <v>-2400</v>
      </c>
      <c r="D40" t="s">
        <v>28</v>
      </c>
    </row>
    <row r="41" spans="1:4" x14ac:dyDescent="0.25">
      <c r="C41">
        <f>-129-240</f>
        <v>-369</v>
      </c>
      <c r="D41" t="s">
        <v>16</v>
      </c>
    </row>
    <row r="42" spans="1:4" x14ac:dyDescent="0.25">
      <c r="C42">
        <v>-2000</v>
      </c>
      <c r="D42" t="s">
        <v>28</v>
      </c>
    </row>
    <row r="43" spans="1:4" x14ac:dyDescent="0.25">
      <c r="A43" s="3">
        <v>43160</v>
      </c>
      <c r="C43">
        <v>-400</v>
      </c>
      <c r="D43" t="s">
        <v>29</v>
      </c>
    </row>
    <row r="44" spans="1:4" x14ac:dyDescent="0.25">
      <c r="C44">
        <v>-350</v>
      </c>
      <c r="D44" t="s">
        <v>30</v>
      </c>
    </row>
    <row r="45" spans="1:4" x14ac:dyDescent="0.25">
      <c r="C45">
        <v>-500</v>
      </c>
      <c r="D45" t="s">
        <v>28</v>
      </c>
    </row>
    <row r="46" spans="1:4" x14ac:dyDescent="0.25">
      <c r="B46">
        <v>670</v>
      </c>
      <c r="D46" t="s">
        <v>31</v>
      </c>
    </row>
    <row r="47" spans="1:4" x14ac:dyDescent="0.25">
      <c r="A47" s="3">
        <v>43191</v>
      </c>
      <c r="C47">
        <v>-760</v>
      </c>
      <c r="D47" t="s">
        <v>23</v>
      </c>
    </row>
    <row r="48" spans="1:4" x14ac:dyDescent="0.25">
      <c r="B48">
        <v>1300</v>
      </c>
      <c r="D48" t="s">
        <v>13</v>
      </c>
    </row>
    <row r="49" spans="1:4" x14ac:dyDescent="0.25">
      <c r="A49" s="3">
        <v>43221</v>
      </c>
      <c r="C49">
        <v>-1300</v>
      </c>
      <c r="D49" t="s">
        <v>23</v>
      </c>
    </row>
    <row r="50" spans="1:4" x14ac:dyDescent="0.25">
      <c r="B50">
        <v>500</v>
      </c>
      <c r="D50" t="s">
        <v>13</v>
      </c>
    </row>
    <row r="51" spans="1:4" x14ac:dyDescent="0.25">
      <c r="A51" s="3">
        <v>43252</v>
      </c>
      <c r="C51">
        <v>-500</v>
      </c>
      <c r="D51" t="s">
        <v>23</v>
      </c>
    </row>
    <row r="52" spans="1:4" x14ac:dyDescent="0.25">
      <c r="B52">
        <v>2000</v>
      </c>
      <c r="D52" t="s">
        <v>13</v>
      </c>
    </row>
    <row r="53" spans="1:4" x14ac:dyDescent="0.25">
      <c r="A53" s="3">
        <v>43282</v>
      </c>
      <c r="B53">
        <v>1300</v>
      </c>
      <c r="D53" t="s">
        <v>13</v>
      </c>
    </row>
    <row r="54" spans="1:4" x14ac:dyDescent="0.25">
      <c r="A54" s="3">
        <v>43313</v>
      </c>
      <c r="C54">
        <v>-600</v>
      </c>
      <c r="D54" t="s">
        <v>32</v>
      </c>
    </row>
    <row r="55" spans="1:4" x14ac:dyDescent="0.25">
      <c r="A55" s="3"/>
      <c r="B55">
        <v>24000</v>
      </c>
      <c r="C55">
        <v>-24000</v>
      </c>
      <c r="D55" t="s">
        <v>135</v>
      </c>
    </row>
    <row r="56" spans="1:4" x14ac:dyDescent="0.25">
      <c r="A56" s="3">
        <v>43586</v>
      </c>
      <c r="B56">
        <v>500</v>
      </c>
      <c r="D56" t="s">
        <v>13</v>
      </c>
    </row>
    <row r="57" spans="1:4" x14ac:dyDescent="0.25">
      <c r="C57">
        <v>-800</v>
      </c>
      <c r="D57" t="s">
        <v>33</v>
      </c>
    </row>
    <row r="58" spans="1:4" x14ac:dyDescent="0.25">
      <c r="C58">
        <v>-188</v>
      </c>
      <c r="D58" t="s">
        <v>34</v>
      </c>
    </row>
    <row r="59" spans="1:4" x14ac:dyDescent="0.25">
      <c r="A59" s="3">
        <v>43617</v>
      </c>
      <c r="B59">
        <v>2450</v>
      </c>
      <c r="D59" t="s">
        <v>13</v>
      </c>
    </row>
    <row r="60" spans="1:4" x14ac:dyDescent="0.25">
      <c r="A60" s="3">
        <v>43678</v>
      </c>
      <c r="B60">
        <v>800</v>
      </c>
      <c r="D60" t="s">
        <v>13</v>
      </c>
    </row>
    <row r="61" spans="1:4" x14ac:dyDescent="0.25">
      <c r="A61" s="3">
        <v>43739</v>
      </c>
      <c r="C61">
        <v>-536</v>
      </c>
      <c r="D61" t="s">
        <v>22</v>
      </c>
    </row>
    <row r="62" spans="1:4" x14ac:dyDescent="0.25">
      <c r="C62">
        <v>-198</v>
      </c>
      <c r="D62" t="s">
        <v>19</v>
      </c>
    </row>
    <row r="63" spans="1:4" x14ac:dyDescent="0.25">
      <c r="B63">
        <v>12000</v>
      </c>
      <c r="C63">
        <v>-12000</v>
      </c>
      <c r="D63" t="s">
        <v>135</v>
      </c>
    </row>
    <row r="64" spans="1:4" x14ac:dyDescent="0.25">
      <c r="C64">
        <v>-12000</v>
      </c>
      <c r="D64" t="s">
        <v>35</v>
      </c>
    </row>
    <row r="65" spans="1:4" x14ac:dyDescent="0.25">
      <c r="A65" s="3">
        <v>43983</v>
      </c>
      <c r="B65">
        <v>500</v>
      </c>
      <c r="D65" t="s">
        <v>13</v>
      </c>
    </row>
    <row r="66" spans="1:4" x14ac:dyDescent="0.25">
      <c r="A66" s="1" t="s">
        <v>36</v>
      </c>
      <c r="B66">
        <v>20000</v>
      </c>
      <c r="D66" t="s">
        <v>17</v>
      </c>
    </row>
    <row r="67" spans="1:4" x14ac:dyDescent="0.25">
      <c r="A67" s="1" t="s">
        <v>37</v>
      </c>
      <c r="B67">
        <v>800</v>
      </c>
      <c r="D67" t="s">
        <v>13</v>
      </c>
    </row>
    <row r="68" spans="1:4" x14ac:dyDescent="0.25">
      <c r="C68">
        <v>-400</v>
      </c>
      <c r="D68" t="s">
        <v>38</v>
      </c>
    </row>
    <row r="69" spans="1:4" x14ac:dyDescent="0.25">
      <c r="B69">
        <v>1800</v>
      </c>
      <c r="D69" t="s">
        <v>13</v>
      </c>
    </row>
    <row r="70" spans="1:4" x14ac:dyDescent="0.25">
      <c r="C70">
        <v>-50</v>
      </c>
      <c r="D70" t="s">
        <v>39</v>
      </c>
    </row>
    <row r="71" spans="1:4" x14ac:dyDescent="0.25">
      <c r="C71">
        <v>-700</v>
      </c>
      <c r="D71" t="s">
        <v>22</v>
      </c>
    </row>
    <row r="72" spans="1:4" x14ac:dyDescent="0.25">
      <c r="A72" s="1" t="s">
        <v>40</v>
      </c>
      <c r="C72">
        <v>-12000</v>
      </c>
      <c r="D72" t="s">
        <v>35</v>
      </c>
    </row>
    <row r="73" spans="1:4" x14ac:dyDescent="0.25">
      <c r="B73">
        <v>12000</v>
      </c>
      <c r="C73">
        <v>-12000</v>
      </c>
      <c r="D73" t="s">
        <v>135</v>
      </c>
    </row>
    <row r="74" spans="1:4" x14ac:dyDescent="0.25">
      <c r="C74">
        <v>-228</v>
      </c>
      <c r="D74" t="s">
        <v>41</v>
      </c>
    </row>
    <row r="75" spans="1:4" x14ac:dyDescent="0.25">
      <c r="A75" s="3">
        <v>44256</v>
      </c>
      <c r="C75">
        <v>-700</v>
      </c>
      <c r="D75" t="s">
        <v>22</v>
      </c>
    </row>
    <row r="76" spans="1:4" x14ac:dyDescent="0.25">
      <c r="A76" s="1" t="s">
        <v>40</v>
      </c>
      <c r="C76">
        <v>-660</v>
      </c>
      <c r="D76" t="s">
        <v>22</v>
      </c>
    </row>
    <row r="77" spans="1:4" x14ac:dyDescent="0.25">
      <c r="B77">
        <v>12000</v>
      </c>
      <c r="C77">
        <v>-12000</v>
      </c>
      <c r="D77" t="s">
        <v>135</v>
      </c>
    </row>
    <row r="78" spans="1:4" x14ac:dyDescent="0.25">
      <c r="A78" s="3">
        <v>44713</v>
      </c>
      <c r="C78">
        <v>-561</v>
      </c>
      <c r="D78" t="s">
        <v>22</v>
      </c>
    </row>
    <row r="79" spans="1:4" x14ac:dyDescent="0.25">
      <c r="C79">
        <f>-288-87-216-348</f>
        <v>-939</v>
      </c>
      <c r="D79" t="s">
        <v>16</v>
      </c>
    </row>
    <row r="80" spans="1:4" x14ac:dyDescent="0.25">
      <c r="B80">
        <v>12000</v>
      </c>
      <c r="C80">
        <v>-12000</v>
      </c>
      <c r="D80" t="s">
        <v>135</v>
      </c>
    </row>
    <row r="81" spans="1:4" x14ac:dyDescent="0.25">
      <c r="A81" s="1" t="s">
        <v>42</v>
      </c>
      <c r="C81">
        <v>-1800</v>
      </c>
      <c r="D81" t="s">
        <v>43</v>
      </c>
    </row>
    <row r="82" spans="1:4" x14ac:dyDescent="0.25">
      <c r="A82" s="3">
        <v>44927</v>
      </c>
      <c r="C82">
        <f>-30-600</f>
        <v>-630</v>
      </c>
      <c r="D82" t="s">
        <v>16</v>
      </c>
    </row>
    <row r="83" spans="1:4" x14ac:dyDescent="0.25">
      <c r="C83">
        <f>-66-230-120-25-30</f>
        <v>-471</v>
      </c>
      <c r="D83" t="s">
        <v>44</v>
      </c>
    </row>
    <row r="84" spans="1:4" x14ac:dyDescent="0.25">
      <c r="A84" s="1" t="s">
        <v>45</v>
      </c>
      <c r="C84">
        <f>-416-89-280-1516-30</f>
        <v>-2331</v>
      </c>
      <c r="D84" t="s">
        <v>16</v>
      </c>
    </row>
    <row r="85" spans="1:4" x14ac:dyDescent="0.25">
      <c r="A85" s="1" t="s">
        <v>46</v>
      </c>
      <c r="C85">
        <v>-75</v>
      </c>
      <c r="D85" t="s">
        <v>16</v>
      </c>
    </row>
    <row r="86" spans="1:4" x14ac:dyDescent="0.25">
      <c r="C86">
        <v>-332</v>
      </c>
      <c r="D86" t="s">
        <v>47</v>
      </c>
    </row>
    <row r="87" spans="1:4" x14ac:dyDescent="0.25">
      <c r="C87">
        <v>-80</v>
      </c>
      <c r="D87" t="s">
        <v>16</v>
      </c>
    </row>
    <row r="88" spans="1:4" x14ac:dyDescent="0.25">
      <c r="A88" s="1" t="s">
        <v>48</v>
      </c>
      <c r="C88">
        <v>-12000</v>
      </c>
      <c r="D88" t="s">
        <v>35</v>
      </c>
    </row>
    <row r="89" spans="1:4" x14ac:dyDescent="0.25">
      <c r="B89">
        <v>12000</v>
      </c>
      <c r="C89">
        <v>-12000</v>
      </c>
      <c r="D89" t="s">
        <v>135</v>
      </c>
    </row>
    <row r="90" spans="1:4" x14ac:dyDescent="0.25">
      <c r="B90">
        <v>19000</v>
      </c>
      <c r="D90" t="s">
        <v>49</v>
      </c>
    </row>
    <row r="91" spans="1:4" x14ac:dyDescent="0.25">
      <c r="A91" s="1" t="s">
        <v>50</v>
      </c>
      <c r="C91">
        <v>-96</v>
      </c>
      <c r="D91" t="s">
        <v>16</v>
      </c>
    </row>
    <row r="92" spans="1:4" x14ac:dyDescent="0.25">
      <c r="C92">
        <v>-52</v>
      </c>
      <c r="D92" t="s">
        <v>51</v>
      </c>
    </row>
    <row r="93" spans="1:4" x14ac:dyDescent="0.25">
      <c r="C93">
        <v>-200</v>
      </c>
      <c r="D93" t="s">
        <v>52</v>
      </c>
    </row>
    <row r="94" spans="1:4" x14ac:dyDescent="0.25">
      <c r="C94">
        <v>-154</v>
      </c>
      <c r="D94" t="s">
        <v>53</v>
      </c>
    </row>
    <row r="95" spans="1:4" x14ac:dyDescent="0.25">
      <c r="C95">
        <v>-33</v>
      </c>
      <c r="D95" t="s">
        <v>54</v>
      </c>
    </row>
    <row r="96" spans="1:4" x14ac:dyDescent="0.25">
      <c r="C96">
        <v>-80</v>
      </c>
      <c r="D96" t="s">
        <v>55</v>
      </c>
    </row>
    <row r="97" spans="1:4" x14ac:dyDescent="0.25">
      <c r="C97">
        <v>-300</v>
      </c>
      <c r="D97" t="s">
        <v>56</v>
      </c>
    </row>
    <row r="98" spans="1:4" x14ac:dyDescent="0.25">
      <c r="C98">
        <v>-95</v>
      </c>
      <c r="D98" t="s">
        <v>57</v>
      </c>
    </row>
    <row r="99" spans="1:4" x14ac:dyDescent="0.25">
      <c r="C99">
        <v>-25</v>
      </c>
      <c r="D99" t="s">
        <v>58</v>
      </c>
    </row>
    <row r="100" spans="1:4" x14ac:dyDescent="0.25">
      <c r="C100">
        <f>-8-380</f>
        <v>-388</v>
      </c>
      <c r="D100" t="s">
        <v>59</v>
      </c>
    </row>
    <row r="101" spans="1:4" x14ac:dyDescent="0.25">
      <c r="C101" s="4">
        <f>-398-667-507-630-604-710</f>
        <v>-3516</v>
      </c>
      <c r="D101" t="s">
        <v>60</v>
      </c>
    </row>
    <row r="102" spans="1:4" x14ac:dyDescent="0.25">
      <c r="C102">
        <f>-157-814-126-71</f>
        <v>-1168</v>
      </c>
      <c r="D102" t="s">
        <v>61</v>
      </c>
    </row>
    <row r="103" spans="1:4" x14ac:dyDescent="0.25">
      <c r="C103">
        <v>-517</v>
      </c>
      <c r="D103" t="s">
        <v>62</v>
      </c>
    </row>
    <row r="104" spans="1:4" x14ac:dyDescent="0.25">
      <c r="C104">
        <v>-2300</v>
      </c>
      <c r="D104" t="s">
        <v>63</v>
      </c>
    </row>
    <row r="105" spans="1:4" x14ac:dyDescent="0.25">
      <c r="A105" s="1" t="s">
        <v>64</v>
      </c>
      <c r="C105">
        <f>-96-56</f>
        <v>-152</v>
      </c>
      <c r="D105" t="s">
        <v>16</v>
      </c>
    </row>
    <row r="106" spans="1:4" x14ac:dyDescent="0.25">
      <c r="A106" s="1" t="s">
        <v>40</v>
      </c>
      <c r="B106">
        <v>20000</v>
      </c>
      <c r="D106" t="s">
        <v>3</v>
      </c>
    </row>
    <row r="107" spans="1:4" x14ac:dyDescent="0.25">
      <c r="C107">
        <f>-188-120-44-37-60-70-4.8-24-19.5-24</f>
        <v>-591.29999999999995</v>
      </c>
      <c r="D107" t="s">
        <v>65</v>
      </c>
    </row>
    <row r="108" spans="1:4" x14ac:dyDescent="0.25">
      <c r="C108">
        <f>-254-119</f>
        <v>-373</v>
      </c>
      <c r="D108" t="s">
        <v>66</v>
      </c>
    </row>
    <row r="109" spans="1:4" x14ac:dyDescent="0.25">
      <c r="C109">
        <v>-61</v>
      </c>
      <c r="D109" t="s">
        <v>65</v>
      </c>
    </row>
    <row r="110" spans="1:4" x14ac:dyDescent="0.25">
      <c r="C110">
        <v>-645</v>
      </c>
      <c r="D110" t="s">
        <v>67</v>
      </c>
    </row>
    <row r="111" spans="1:4" x14ac:dyDescent="0.25">
      <c r="C111">
        <f>-360*5-50</f>
        <v>-1850</v>
      </c>
      <c r="D111" t="s">
        <v>67</v>
      </c>
    </row>
    <row r="112" spans="1:4" x14ac:dyDescent="0.25">
      <c r="C112">
        <f>-146-38-10</f>
        <v>-194</v>
      </c>
      <c r="D112" t="s">
        <v>65</v>
      </c>
    </row>
    <row r="113" spans="1:4" x14ac:dyDescent="0.25">
      <c r="B113">
        <v>270</v>
      </c>
      <c r="C113">
        <v>-270</v>
      </c>
      <c r="D113" t="s">
        <v>68</v>
      </c>
    </row>
    <row r="114" spans="1:4" x14ac:dyDescent="0.25">
      <c r="C114">
        <v>-635</v>
      </c>
      <c r="D114" t="s">
        <v>65</v>
      </c>
    </row>
    <row r="115" spans="1:4" x14ac:dyDescent="0.25">
      <c r="C115">
        <v>-361</v>
      </c>
      <c r="D115" t="s">
        <v>65</v>
      </c>
    </row>
    <row r="116" spans="1:4" x14ac:dyDescent="0.25">
      <c r="B116">
        <v>17497.490000000002</v>
      </c>
      <c r="C116" s="4">
        <f>17497.49-20000</f>
        <v>-2502.5099999999984</v>
      </c>
      <c r="D116" t="s">
        <v>69</v>
      </c>
    </row>
    <row r="117" spans="1:4" x14ac:dyDescent="0.25">
      <c r="C117">
        <v>-1000</v>
      </c>
      <c r="D117" t="s">
        <v>69</v>
      </c>
    </row>
    <row r="118" spans="1:4" x14ac:dyDescent="0.25">
      <c r="A118" s="2">
        <v>45216</v>
      </c>
      <c r="C118">
        <v>-5000</v>
      </c>
      <c r="D118" t="s">
        <v>70</v>
      </c>
    </row>
    <row r="119" spans="1:4" x14ac:dyDescent="0.25">
      <c r="C119">
        <f>-41.2-65-66</f>
        <v>-172.2</v>
      </c>
      <c r="D119" t="s">
        <v>71</v>
      </c>
    </row>
    <row r="120" spans="1:4" x14ac:dyDescent="0.25">
      <c r="C120">
        <v>-13</v>
      </c>
      <c r="D120" t="s">
        <v>59</v>
      </c>
    </row>
    <row r="121" spans="1:4" x14ac:dyDescent="0.25">
      <c r="C121">
        <v>-36</v>
      </c>
      <c r="D121" t="s">
        <v>72</v>
      </c>
    </row>
    <row r="122" spans="1:4" x14ac:dyDescent="0.25">
      <c r="A122" s="2">
        <v>45217</v>
      </c>
      <c r="C122">
        <v>-500</v>
      </c>
      <c r="D122" t="s">
        <v>67</v>
      </c>
    </row>
    <row r="123" spans="1:4" x14ac:dyDescent="0.25">
      <c r="C123">
        <v>-17</v>
      </c>
      <c r="D123" t="s">
        <v>73</v>
      </c>
    </row>
    <row r="124" spans="1:4" x14ac:dyDescent="0.25">
      <c r="A124" s="2">
        <v>45218</v>
      </c>
      <c r="C124">
        <v>-32</v>
      </c>
      <c r="D124" t="s">
        <v>74</v>
      </c>
    </row>
    <row r="125" spans="1:4" x14ac:dyDescent="0.25">
      <c r="C125">
        <v>-43.5</v>
      </c>
      <c r="D125" t="s">
        <v>66</v>
      </c>
    </row>
    <row r="126" spans="1:4" x14ac:dyDescent="0.25">
      <c r="C126">
        <v>-5000</v>
      </c>
      <c r="D126" t="s">
        <v>70</v>
      </c>
    </row>
    <row r="127" spans="1:4" x14ac:dyDescent="0.25">
      <c r="C127">
        <v>-22</v>
      </c>
      <c r="D127" t="s">
        <v>65</v>
      </c>
    </row>
    <row r="128" spans="1:4" x14ac:dyDescent="0.25">
      <c r="A128" s="2">
        <v>45219</v>
      </c>
      <c r="C128">
        <v>-133</v>
      </c>
      <c r="D128" t="s">
        <v>75</v>
      </c>
    </row>
    <row r="129" spans="1:4" x14ac:dyDescent="0.25">
      <c r="C129">
        <v>-2906</v>
      </c>
      <c r="D129" t="s">
        <v>66</v>
      </c>
    </row>
    <row r="130" spans="1:4" x14ac:dyDescent="0.25">
      <c r="A130" s="2">
        <v>45225</v>
      </c>
      <c r="C130">
        <v>-662</v>
      </c>
      <c r="D130" t="s">
        <v>65</v>
      </c>
    </row>
    <row r="131" spans="1:4" x14ac:dyDescent="0.25">
      <c r="C131">
        <v>-5000</v>
      </c>
      <c r="D131" t="s">
        <v>70</v>
      </c>
    </row>
    <row r="132" spans="1:4" x14ac:dyDescent="0.25">
      <c r="A132" s="2">
        <v>45226</v>
      </c>
      <c r="C132">
        <v>-5000</v>
      </c>
      <c r="D132" t="s">
        <v>70</v>
      </c>
    </row>
    <row r="133" spans="1:4" x14ac:dyDescent="0.25">
      <c r="C133">
        <v>-91.7</v>
      </c>
      <c r="D133" t="s">
        <v>65</v>
      </c>
    </row>
    <row r="134" spans="1:4" x14ac:dyDescent="0.25">
      <c r="A134" s="2">
        <v>45230</v>
      </c>
      <c r="C134">
        <v>-654</v>
      </c>
      <c r="D134" t="s">
        <v>65</v>
      </c>
    </row>
    <row r="135" spans="1:4" x14ac:dyDescent="0.25">
      <c r="C135">
        <v>-2900</v>
      </c>
      <c r="D135" t="s">
        <v>67</v>
      </c>
    </row>
    <row r="136" spans="1:4" x14ac:dyDescent="0.25">
      <c r="A136" s="2">
        <v>45240</v>
      </c>
      <c r="C136">
        <v>-731.6</v>
      </c>
      <c r="D136" t="s">
        <v>65</v>
      </c>
    </row>
    <row r="137" spans="1:4" x14ac:dyDescent="0.25">
      <c r="C137">
        <v>-2900</v>
      </c>
      <c r="D137" t="s">
        <v>67</v>
      </c>
    </row>
    <row r="138" spans="1:4" x14ac:dyDescent="0.25">
      <c r="A138" s="2">
        <v>45250</v>
      </c>
      <c r="C138">
        <v>-446</v>
      </c>
      <c r="D138" t="s">
        <v>65</v>
      </c>
    </row>
    <row r="139" spans="1:4" x14ac:dyDescent="0.25">
      <c r="C139">
        <v>-2900</v>
      </c>
      <c r="D139" t="s">
        <v>67</v>
      </c>
    </row>
    <row r="140" spans="1:4" x14ac:dyDescent="0.25">
      <c r="C140">
        <v>-5000</v>
      </c>
      <c r="D140" t="s">
        <v>70</v>
      </c>
    </row>
    <row r="141" spans="1:4" x14ac:dyDescent="0.25">
      <c r="A141" s="2">
        <v>45260</v>
      </c>
      <c r="C141">
        <v>-222</v>
      </c>
      <c r="D141" t="s">
        <v>65</v>
      </c>
    </row>
    <row r="142" spans="1:4" x14ac:dyDescent="0.25">
      <c r="C142">
        <v>-2900</v>
      </c>
      <c r="D142" t="s">
        <v>67</v>
      </c>
    </row>
    <row r="143" spans="1:4" x14ac:dyDescent="0.25">
      <c r="A143" s="2">
        <v>45270</v>
      </c>
      <c r="C143">
        <v>-20000</v>
      </c>
      <c r="D143" t="s">
        <v>70</v>
      </c>
    </row>
    <row r="144" spans="1:4" x14ac:dyDescent="0.25">
      <c r="C144">
        <v>-937.5</v>
      </c>
      <c r="D144" t="s">
        <v>65</v>
      </c>
    </row>
    <row r="145" spans="1:4" x14ac:dyDescent="0.25">
      <c r="C145">
        <v>-2900</v>
      </c>
      <c r="D145" t="s">
        <v>67</v>
      </c>
    </row>
    <row r="146" spans="1:4" x14ac:dyDescent="0.25">
      <c r="A146" s="2">
        <v>45280</v>
      </c>
      <c r="C146">
        <v>-724</v>
      </c>
      <c r="D146" t="s">
        <v>65</v>
      </c>
    </row>
    <row r="147" spans="1:4" x14ac:dyDescent="0.25">
      <c r="C147">
        <v>-2900</v>
      </c>
      <c r="D147" t="s">
        <v>67</v>
      </c>
    </row>
    <row r="148" spans="1:4" x14ac:dyDescent="0.25">
      <c r="C148">
        <v>-10000</v>
      </c>
      <c r="D148" t="s">
        <v>70</v>
      </c>
    </row>
    <row r="149" spans="1:4" x14ac:dyDescent="0.25">
      <c r="A149" s="2">
        <v>45291</v>
      </c>
      <c r="C149">
        <v>-362.8</v>
      </c>
      <c r="D149" t="s">
        <v>65</v>
      </c>
    </row>
    <row r="150" spans="1:4" x14ac:dyDescent="0.25">
      <c r="C150">
        <v>-2900</v>
      </c>
      <c r="D150" t="s">
        <v>67</v>
      </c>
    </row>
    <row r="151" spans="1:4" x14ac:dyDescent="0.25">
      <c r="A151" s="2">
        <v>45294</v>
      </c>
      <c r="B151">
        <v>56276.67</v>
      </c>
      <c r="C151">
        <v>-17000</v>
      </c>
      <c r="D151" t="s">
        <v>70</v>
      </c>
    </row>
    <row r="152" spans="1:4" x14ac:dyDescent="0.25">
      <c r="C152">
        <v>-697</v>
      </c>
      <c r="D152" t="s">
        <v>65</v>
      </c>
    </row>
    <row r="153" spans="1:4" x14ac:dyDescent="0.25">
      <c r="C153">
        <v>-5000</v>
      </c>
      <c r="D153" t="s">
        <v>76</v>
      </c>
    </row>
    <row r="154" spans="1:4" x14ac:dyDescent="0.25">
      <c r="A154" s="2">
        <v>45301</v>
      </c>
      <c r="C154">
        <v>-1300</v>
      </c>
      <c r="D154" t="s">
        <v>67</v>
      </c>
    </row>
    <row r="155" spans="1:4" x14ac:dyDescent="0.25">
      <c r="C155">
        <v>-1000</v>
      </c>
      <c r="D155" t="s">
        <v>76</v>
      </c>
    </row>
    <row r="156" spans="1:4" x14ac:dyDescent="0.25">
      <c r="B156">
        <v>1160</v>
      </c>
      <c r="D156" t="s">
        <v>77</v>
      </c>
    </row>
    <row r="157" spans="1:4" x14ac:dyDescent="0.25">
      <c r="C157">
        <v>-566</v>
      </c>
      <c r="D157" t="s">
        <v>65</v>
      </c>
    </row>
    <row r="158" spans="1:4" x14ac:dyDescent="0.25">
      <c r="A158" s="2">
        <v>45322</v>
      </c>
      <c r="C158">
        <v>-5000</v>
      </c>
      <c r="D158" t="s">
        <v>76</v>
      </c>
    </row>
    <row r="159" spans="1:4" x14ac:dyDescent="0.25">
      <c r="C159">
        <v>-1820</v>
      </c>
      <c r="D159" t="s">
        <v>67</v>
      </c>
    </row>
    <row r="160" spans="1:4" x14ac:dyDescent="0.25">
      <c r="C160">
        <v>-5000</v>
      </c>
      <c r="D160" t="s">
        <v>69</v>
      </c>
    </row>
    <row r="161" spans="1:4" x14ac:dyDescent="0.25">
      <c r="B161">
        <v>10977</v>
      </c>
      <c r="D161" t="s">
        <v>78</v>
      </c>
    </row>
    <row r="162" spans="1:4" x14ac:dyDescent="0.25">
      <c r="C162">
        <v>-10000</v>
      </c>
      <c r="D162" t="s">
        <v>79</v>
      </c>
    </row>
    <row r="163" spans="1:4" x14ac:dyDescent="0.25">
      <c r="C163">
        <v>-460.6</v>
      </c>
      <c r="D163" t="s">
        <v>65</v>
      </c>
    </row>
    <row r="164" spans="1:4" x14ac:dyDescent="0.25">
      <c r="A164" s="2">
        <v>45323</v>
      </c>
      <c r="C164">
        <v>-800</v>
      </c>
      <c r="D164" t="s">
        <v>80</v>
      </c>
    </row>
    <row r="165" spans="1:4" x14ac:dyDescent="0.25">
      <c r="C165">
        <v>-96.5</v>
      </c>
      <c r="D165" t="s">
        <v>65</v>
      </c>
    </row>
    <row r="166" spans="1:4" x14ac:dyDescent="0.25">
      <c r="B166">
        <v>7937.28</v>
      </c>
      <c r="D166" t="s">
        <v>81</v>
      </c>
    </row>
    <row r="167" spans="1:4" x14ac:dyDescent="0.25">
      <c r="A167" s="2">
        <v>45331</v>
      </c>
      <c r="C167">
        <v>-1800</v>
      </c>
      <c r="D167" t="s">
        <v>82</v>
      </c>
    </row>
    <row r="168" spans="1:4" x14ac:dyDescent="0.25">
      <c r="C168">
        <v>-3100</v>
      </c>
      <c r="D168" t="s">
        <v>67</v>
      </c>
    </row>
    <row r="169" spans="1:4" x14ac:dyDescent="0.25">
      <c r="A169" s="3">
        <v>45352</v>
      </c>
      <c r="C169">
        <v>-3367</v>
      </c>
      <c r="D169" t="s">
        <v>67</v>
      </c>
    </row>
    <row r="170" spans="1:4" x14ac:dyDescent="0.25">
      <c r="C170">
        <v>-330.71</v>
      </c>
      <c r="D170" t="s">
        <v>65</v>
      </c>
    </row>
    <row r="171" spans="1:4" x14ac:dyDescent="0.25">
      <c r="B171">
        <v>7900</v>
      </c>
      <c r="D171" t="s">
        <v>83</v>
      </c>
    </row>
    <row r="172" spans="1:4" x14ac:dyDescent="0.25">
      <c r="A172" s="3">
        <v>45413</v>
      </c>
      <c r="C172">
        <v>-7133</v>
      </c>
      <c r="D172" t="s">
        <v>67</v>
      </c>
    </row>
    <row r="173" spans="1:4" x14ac:dyDescent="0.25">
      <c r="C173">
        <v>-352.2</v>
      </c>
      <c r="D173" t="s">
        <v>84</v>
      </c>
    </row>
    <row r="174" spans="1:4" x14ac:dyDescent="0.25">
      <c r="B174">
        <v>12000</v>
      </c>
      <c r="D174" t="s">
        <v>85</v>
      </c>
    </row>
    <row r="175" spans="1:4" x14ac:dyDescent="0.25">
      <c r="A175" s="3">
        <v>45444</v>
      </c>
      <c r="B175">
        <v>10000</v>
      </c>
      <c r="D175" t="s">
        <v>3</v>
      </c>
    </row>
    <row r="176" spans="1:4" x14ac:dyDescent="0.25">
      <c r="C176">
        <v>-4000</v>
      </c>
      <c r="D176" t="s">
        <v>67</v>
      </c>
    </row>
    <row r="177" spans="1:4" x14ac:dyDescent="0.25">
      <c r="C177">
        <v>-5000</v>
      </c>
      <c r="D177" t="s">
        <v>79</v>
      </c>
    </row>
    <row r="178" spans="1:4" x14ac:dyDescent="0.25">
      <c r="C178">
        <v>-289.10000000000002</v>
      </c>
      <c r="D178" t="s">
        <v>65</v>
      </c>
    </row>
    <row r="179" spans="1:4" x14ac:dyDescent="0.25">
      <c r="A179" s="3">
        <v>45474</v>
      </c>
      <c r="C179">
        <v>-16587</v>
      </c>
      <c r="D179" t="s">
        <v>69</v>
      </c>
    </row>
    <row r="180" spans="1:4" x14ac:dyDescent="0.25">
      <c r="A180" s="3">
        <v>45505</v>
      </c>
      <c r="B180">
        <v>5000</v>
      </c>
      <c r="D180" t="s">
        <v>86</v>
      </c>
    </row>
    <row r="181" spans="1:4" x14ac:dyDescent="0.25">
      <c r="C181">
        <v>-20943</v>
      </c>
      <c r="D181" t="s">
        <v>69</v>
      </c>
    </row>
    <row r="182" spans="1:4" x14ac:dyDescent="0.25">
      <c r="A182" s="3">
        <v>45536</v>
      </c>
      <c r="C182">
        <v>-7016.2</v>
      </c>
      <c r="D182" t="s">
        <v>69</v>
      </c>
    </row>
    <row r="183" spans="1:4" x14ac:dyDescent="0.25">
      <c r="A183" s="3">
        <v>45566</v>
      </c>
      <c r="B183">
        <f>29000+5000</f>
        <v>34000</v>
      </c>
      <c r="D183" t="s">
        <v>85</v>
      </c>
    </row>
    <row r="184" spans="1:4" x14ac:dyDescent="0.25">
      <c r="C184">
        <v>-4754.8999999999996</v>
      </c>
      <c r="D184" t="s">
        <v>69</v>
      </c>
    </row>
    <row r="185" spans="1:4" x14ac:dyDescent="0.25">
      <c r="B185" s="4">
        <v>30660</v>
      </c>
      <c r="D185" t="s">
        <v>91</v>
      </c>
    </row>
    <row r="186" spans="1:4" x14ac:dyDescent="0.25">
      <c r="B186">
        <v>25198.99</v>
      </c>
      <c r="D186" t="s">
        <v>87</v>
      </c>
    </row>
    <row r="187" spans="1:4" x14ac:dyDescent="0.25">
      <c r="C187">
        <f>-27600-6400</f>
        <v>-34000</v>
      </c>
      <c r="D187" t="s">
        <v>92</v>
      </c>
    </row>
    <row r="188" spans="1:4" x14ac:dyDescent="0.25">
      <c r="C188">
        <v>-6400</v>
      </c>
      <c r="D188" t="s">
        <v>88</v>
      </c>
    </row>
    <row r="189" spans="1:4" x14ac:dyDescent="0.25">
      <c r="B189">
        <v>20000</v>
      </c>
      <c r="D189" t="s">
        <v>86</v>
      </c>
    </row>
    <row r="190" spans="1:4" x14ac:dyDescent="0.25">
      <c r="C190">
        <v>-80</v>
      </c>
      <c r="D190" t="s">
        <v>89</v>
      </c>
    </row>
    <row r="191" spans="1:4" x14ac:dyDescent="0.25">
      <c r="A191" s="3">
        <v>45597</v>
      </c>
      <c r="C191">
        <v>-213.68</v>
      </c>
      <c r="D191" t="s">
        <v>84</v>
      </c>
    </row>
    <row r="192" spans="1:4" x14ac:dyDescent="0.25">
      <c r="B192">
        <v>500</v>
      </c>
      <c r="D192" t="s">
        <v>90</v>
      </c>
    </row>
    <row r="193" spans="1:4" x14ac:dyDescent="0.25">
      <c r="C193">
        <v>-94.4</v>
      </c>
      <c r="D193" t="s">
        <v>66</v>
      </c>
    </row>
    <row r="194" spans="1:4" x14ac:dyDescent="0.25">
      <c r="C194">
        <v>-4130</v>
      </c>
      <c r="D194" t="s">
        <v>67</v>
      </c>
    </row>
    <row r="195" spans="1:4" x14ac:dyDescent="0.25">
      <c r="A195" s="3">
        <v>45627</v>
      </c>
      <c r="C195">
        <v>-4200</v>
      </c>
      <c r="D195" t="s">
        <v>67</v>
      </c>
    </row>
    <row r="196" spans="1:4" x14ac:dyDescent="0.25">
      <c r="B196">
        <v>12600</v>
      </c>
      <c r="D196" t="s">
        <v>3</v>
      </c>
    </row>
    <row r="197" spans="1:4" x14ac:dyDescent="0.25">
      <c r="C197">
        <v>-77.8</v>
      </c>
      <c r="D197" t="s">
        <v>84</v>
      </c>
    </row>
    <row r="198" spans="1:4" x14ac:dyDescent="0.25">
      <c r="C198">
        <v>-394.6</v>
      </c>
      <c r="D198" t="s">
        <v>66</v>
      </c>
    </row>
    <row r="199" spans="1:4" x14ac:dyDescent="0.25">
      <c r="A199" s="3">
        <v>45658</v>
      </c>
      <c r="C199">
        <v>-3560</v>
      </c>
      <c r="D199" t="s">
        <v>67</v>
      </c>
    </row>
    <row r="200" spans="1:4" x14ac:dyDescent="0.25">
      <c r="C200">
        <v>-536.9</v>
      </c>
      <c r="D200" t="s">
        <v>66</v>
      </c>
    </row>
    <row r="201" spans="1:4" x14ac:dyDescent="0.25">
      <c r="A201" s="3">
        <v>45689</v>
      </c>
      <c r="C201">
        <v>-801.51</v>
      </c>
      <c r="D201" t="s">
        <v>66</v>
      </c>
    </row>
    <row r="202" spans="1:4" x14ac:dyDescent="0.25">
      <c r="A202" s="3"/>
      <c r="C202">
        <v>4200</v>
      </c>
      <c r="D202" t="s">
        <v>67</v>
      </c>
    </row>
    <row r="203" spans="1:4" x14ac:dyDescent="0.25">
      <c r="C203">
        <v>-1280</v>
      </c>
      <c r="D203" t="s">
        <v>67</v>
      </c>
    </row>
    <row r="204" spans="1:4" x14ac:dyDescent="0.25">
      <c r="A204" s="3">
        <v>45717</v>
      </c>
      <c r="C204">
        <v>-115</v>
      </c>
      <c r="D204" t="s">
        <v>84</v>
      </c>
    </row>
    <row r="205" spans="1:4" x14ac:dyDescent="0.25">
      <c r="C205">
        <v>-2900</v>
      </c>
      <c r="D205" t="s">
        <v>67</v>
      </c>
    </row>
    <row r="206" spans="1:4" x14ac:dyDescent="0.25">
      <c r="A206" s="3">
        <v>45748</v>
      </c>
      <c r="C206">
        <v>-3900</v>
      </c>
      <c r="D206" t="s">
        <v>67</v>
      </c>
    </row>
    <row r="207" spans="1:4" x14ac:dyDescent="0.25">
      <c r="A207" s="3">
        <v>45778</v>
      </c>
      <c r="C207">
        <v>-3900</v>
      </c>
      <c r="D207" t="s">
        <v>67</v>
      </c>
    </row>
    <row r="208" spans="1:4" x14ac:dyDescent="0.25">
      <c r="A208" s="3"/>
      <c r="B208">
        <v>3900</v>
      </c>
      <c r="D208" t="s">
        <v>83</v>
      </c>
    </row>
    <row r="209" spans="1:4" x14ac:dyDescent="0.25">
      <c r="A209" s="3">
        <v>45809</v>
      </c>
      <c r="C209">
        <v>-3900</v>
      </c>
      <c r="D209" t="s">
        <v>67</v>
      </c>
    </row>
    <row r="210" spans="1:4" x14ac:dyDescent="0.25">
      <c r="A210" s="3"/>
      <c r="B210">
        <v>3900</v>
      </c>
      <c r="D210" t="s">
        <v>83</v>
      </c>
    </row>
    <row r="211" spans="1:4" x14ac:dyDescent="0.25">
      <c r="A211" s="3">
        <v>45839</v>
      </c>
      <c r="C211">
        <v>-3900</v>
      </c>
      <c r="D211" t="s">
        <v>67</v>
      </c>
    </row>
    <row r="212" spans="1:4" x14ac:dyDescent="0.25">
      <c r="B212">
        <v>4000</v>
      </c>
      <c r="D212" t="s">
        <v>83</v>
      </c>
    </row>
    <row r="213" spans="1:4" x14ac:dyDescent="0.25">
      <c r="A213" s="3">
        <v>45870</v>
      </c>
      <c r="C213">
        <v>-5000</v>
      </c>
      <c r="D213" t="s">
        <v>93</v>
      </c>
    </row>
    <row r="214" spans="1:4" x14ac:dyDescent="0.25">
      <c r="A214" s="1" t="s">
        <v>94</v>
      </c>
      <c r="C214">
        <v>-50</v>
      </c>
      <c r="D214" t="s">
        <v>61</v>
      </c>
    </row>
    <row r="215" spans="1:4" x14ac:dyDescent="0.25">
      <c r="A215" s="1" t="s">
        <v>95</v>
      </c>
      <c r="C215">
        <f>-30-8-51-59</f>
        <v>-148</v>
      </c>
      <c r="D215" t="s">
        <v>61</v>
      </c>
    </row>
    <row r="216" spans="1:4" x14ac:dyDescent="0.25">
      <c r="A216" s="1" t="s">
        <v>96</v>
      </c>
      <c r="C216">
        <f>-2.18-41</f>
        <v>-43.18</v>
      </c>
      <c r="D216" t="s">
        <v>61</v>
      </c>
    </row>
    <row r="217" spans="1:4" x14ac:dyDescent="0.25">
      <c r="A217" s="1" t="s">
        <v>97</v>
      </c>
      <c r="C217">
        <f>-11.5-2.18</f>
        <v>-13.68</v>
      </c>
      <c r="D217" t="s">
        <v>61</v>
      </c>
    </row>
    <row r="218" spans="1:4" x14ac:dyDescent="0.25">
      <c r="A218" s="1" t="s">
        <v>98</v>
      </c>
      <c r="C218">
        <v>-15</v>
      </c>
      <c r="D218" t="s">
        <v>61</v>
      </c>
    </row>
    <row r="219" spans="1:4" x14ac:dyDescent="0.25">
      <c r="A219" s="1" t="s">
        <v>99</v>
      </c>
      <c r="C219">
        <f>-33-1.09-15</f>
        <v>-49.09</v>
      </c>
      <c r="D219" t="s">
        <v>66</v>
      </c>
    </row>
    <row r="220" spans="1:4" x14ac:dyDescent="0.25">
      <c r="B220">
        <v>10800</v>
      </c>
      <c r="D220" t="s">
        <v>86</v>
      </c>
    </row>
    <row r="221" spans="1:4" x14ac:dyDescent="0.25">
      <c r="A221" s="1" t="s">
        <v>100</v>
      </c>
      <c r="B221">
        <v>2000</v>
      </c>
      <c r="D221" t="s">
        <v>86</v>
      </c>
    </row>
    <row r="222" spans="1:4" x14ac:dyDescent="0.25">
      <c r="C222">
        <f>-19-4.5-6-16-4-134.91-11.2</f>
        <v>-195.60999999999999</v>
      </c>
      <c r="D222" t="s">
        <v>65</v>
      </c>
    </row>
    <row r="223" spans="1:4" x14ac:dyDescent="0.25">
      <c r="A223" s="1" t="s">
        <v>101</v>
      </c>
      <c r="C223">
        <f>-3.5-0.75-19-12.6-3-15-4</f>
        <v>-57.85</v>
      </c>
      <c r="D223" t="s">
        <v>65</v>
      </c>
    </row>
    <row r="224" spans="1:4" x14ac:dyDescent="0.25">
      <c r="B224">
        <v>290</v>
      </c>
      <c r="C224">
        <f>-23-8.5-10-7.5-7-0.5-3.5-10.5-16-3.5-8-2.5-15-42-3-5-8-5-3.5-6-17.5-3.5-3.5-5-3.5-1-8-60</f>
        <v>-290</v>
      </c>
      <c r="D224" t="s">
        <v>138</v>
      </c>
    </row>
    <row r="225" spans="1:4" x14ac:dyDescent="0.25">
      <c r="C225">
        <v>-720</v>
      </c>
      <c r="D225" t="s">
        <v>67</v>
      </c>
    </row>
    <row r="226" spans="1:4" x14ac:dyDescent="0.25">
      <c r="A226" s="1" t="s">
        <v>102</v>
      </c>
      <c r="C226">
        <f>-6-6-1-1.8-8-9-3-28-1</f>
        <v>-63.8</v>
      </c>
      <c r="D226" t="s">
        <v>65</v>
      </c>
    </row>
    <row r="227" spans="1:4" x14ac:dyDescent="0.25">
      <c r="A227" s="1" t="s">
        <v>103</v>
      </c>
      <c r="C227">
        <f>-4-5-156-13</f>
        <v>-178</v>
      </c>
      <c r="D227" t="s">
        <v>65</v>
      </c>
    </row>
    <row r="228" spans="1:4" x14ac:dyDescent="0.25">
      <c r="C228">
        <v>-4900</v>
      </c>
      <c r="D228" t="s">
        <v>67</v>
      </c>
    </row>
    <row r="229" spans="1:4" x14ac:dyDescent="0.25">
      <c r="A229" s="1" t="s">
        <v>104</v>
      </c>
      <c r="C229">
        <f>-1.84-10-35</f>
        <v>-46.84</v>
      </c>
      <c r="D229" t="s">
        <v>65</v>
      </c>
    </row>
    <row r="230" spans="1:4" x14ac:dyDescent="0.25">
      <c r="B230">
        <v>91</v>
      </c>
      <c r="C230">
        <v>-91</v>
      </c>
      <c r="D230" t="s">
        <v>137</v>
      </c>
    </row>
    <row r="231" spans="1:4" x14ac:dyDescent="0.25">
      <c r="A231" s="1" t="s">
        <v>105</v>
      </c>
      <c r="C231">
        <f>-23-45.6</f>
        <v>-68.599999999999994</v>
      </c>
      <c r="D231" t="s">
        <v>65</v>
      </c>
    </row>
    <row r="232" spans="1:4" x14ac:dyDescent="0.25">
      <c r="C232">
        <v>-1440</v>
      </c>
      <c r="D232" t="s">
        <v>67</v>
      </c>
    </row>
    <row r="233" spans="1:4" x14ac:dyDescent="0.25">
      <c r="C233">
        <v>-3000</v>
      </c>
      <c r="D233" t="s">
        <v>106</v>
      </c>
    </row>
    <row r="234" spans="1:4" x14ac:dyDescent="0.25">
      <c r="A234" s="1" t="s">
        <v>107</v>
      </c>
      <c r="C234">
        <f>-12-6-520-66</f>
        <v>-604</v>
      </c>
      <c r="D234" t="s">
        <v>109</v>
      </c>
    </row>
    <row r="235" spans="1:4" x14ac:dyDescent="0.25">
      <c r="A235" s="1" t="s">
        <v>108</v>
      </c>
      <c r="C235">
        <v>521</v>
      </c>
      <c r="D235" t="s">
        <v>109</v>
      </c>
    </row>
    <row r="236" spans="1:4" x14ac:dyDescent="0.25">
      <c r="A236" s="1" t="s">
        <v>110</v>
      </c>
      <c r="C236">
        <f>-1939.54-1000</f>
        <v>-2939.54</v>
      </c>
      <c r="D236" t="s">
        <v>111</v>
      </c>
    </row>
    <row r="237" spans="1:4" x14ac:dyDescent="0.25">
      <c r="B237">
        <v>5000</v>
      </c>
      <c r="D237" t="s">
        <v>112</v>
      </c>
    </row>
    <row r="238" spans="1:4" x14ac:dyDescent="0.25">
      <c r="B238">
        <v>5265.54</v>
      </c>
      <c r="D238" t="s">
        <v>113</v>
      </c>
    </row>
    <row r="239" spans="1:4" x14ac:dyDescent="0.25">
      <c r="A239" s="1" t="s">
        <v>114</v>
      </c>
      <c r="C239">
        <v>-1229</v>
      </c>
      <c r="D239" t="s">
        <v>115</v>
      </c>
    </row>
    <row r="240" spans="1:4" x14ac:dyDescent="0.25">
      <c r="B240">
        <v>4990</v>
      </c>
      <c r="D240" t="s">
        <v>116</v>
      </c>
    </row>
    <row r="241" spans="1:4" x14ac:dyDescent="0.25">
      <c r="C241">
        <v>-1200</v>
      </c>
      <c r="D241" t="s">
        <v>117</v>
      </c>
    </row>
    <row r="242" spans="1:4" x14ac:dyDescent="0.25">
      <c r="C242">
        <v>-1420</v>
      </c>
      <c r="D242" t="s">
        <v>118</v>
      </c>
    </row>
    <row r="243" spans="1:4" x14ac:dyDescent="0.25">
      <c r="C243">
        <f>-1850+50+100+125+25</f>
        <v>-1550</v>
      </c>
      <c r="D243" t="s">
        <v>136</v>
      </c>
    </row>
    <row r="244" spans="1:4" x14ac:dyDescent="0.25">
      <c r="C244">
        <f>-100-200-40-50-100-100-400</f>
        <v>-990</v>
      </c>
      <c r="D244" t="s">
        <v>119</v>
      </c>
    </row>
    <row r="245" spans="1:4" x14ac:dyDescent="0.25">
      <c r="B245">
        <v>300</v>
      </c>
      <c r="C245">
        <v>-300</v>
      </c>
      <c r="D245" t="s">
        <v>120</v>
      </c>
    </row>
    <row r="246" spans="1:4" x14ac:dyDescent="0.25">
      <c r="B246">
        <v>1850</v>
      </c>
      <c r="D246" t="s">
        <v>86</v>
      </c>
    </row>
    <row r="247" spans="1:4" x14ac:dyDescent="0.25">
      <c r="B247">
        <v>6478</v>
      </c>
      <c r="D247" t="s">
        <v>126</v>
      </c>
    </row>
    <row r="248" spans="1:4" x14ac:dyDescent="0.25">
      <c r="B248">
        <v>34216</v>
      </c>
      <c r="D248" t="s">
        <v>125</v>
      </c>
    </row>
    <row r="249" spans="1:4" x14ac:dyDescent="0.25">
      <c r="C249">
        <v>-30660</v>
      </c>
      <c r="D249" t="s">
        <v>127</v>
      </c>
    </row>
    <row r="250" spans="1:4" x14ac:dyDescent="0.25">
      <c r="C250">
        <f>B247+B248+C249</f>
        <v>10034</v>
      </c>
      <c r="D250" t="s">
        <v>139</v>
      </c>
    </row>
    <row r="251" spans="1:4" x14ac:dyDescent="0.25">
      <c r="B251">
        <v>95000</v>
      </c>
      <c r="D251" t="s">
        <v>140</v>
      </c>
    </row>
    <row r="254" spans="1:4" x14ac:dyDescent="0.25">
      <c r="A254" s="1" t="s">
        <v>129</v>
      </c>
      <c r="B254" s="5">
        <f>B46+B116+B151+B156+B161+B166+B186+B237+B238</f>
        <v>129982.97</v>
      </c>
    </row>
    <row r="255" spans="1:4" x14ac:dyDescent="0.25">
      <c r="A255" s="1" t="s">
        <v>130</v>
      </c>
      <c r="B255" s="5">
        <f>195392-B254</f>
        <v>65409.03</v>
      </c>
    </row>
    <row r="256" spans="1:4" x14ac:dyDescent="0.25">
      <c r="A256" s="1" t="s">
        <v>128</v>
      </c>
      <c r="B256" s="5">
        <v>17145</v>
      </c>
    </row>
    <row r="257" spans="1:2" x14ac:dyDescent="0.25">
      <c r="A257" s="1" t="s">
        <v>133</v>
      </c>
      <c r="B257" s="5">
        <f>B90</f>
        <v>19000</v>
      </c>
    </row>
    <row r="258" spans="1:2" x14ac:dyDescent="0.25">
      <c r="A258" s="1" t="s">
        <v>92</v>
      </c>
      <c r="B258" s="5">
        <f>202000-B240</f>
        <v>197010</v>
      </c>
    </row>
    <row r="259" spans="1:2" x14ac:dyDescent="0.25">
      <c r="A259" s="1" t="s">
        <v>67</v>
      </c>
      <c r="B259" s="5">
        <f>78545</f>
        <v>78545</v>
      </c>
    </row>
    <row r="260" spans="1:2" x14ac:dyDescent="0.25">
      <c r="A260" s="1" t="s">
        <v>109</v>
      </c>
      <c r="B260" s="5">
        <f>-(C234+C235+C239+C241+C242+C243+C244+C245+C164)</f>
        <v>7572</v>
      </c>
    </row>
    <row r="261" spans="1:2" x14ac:dyDescent="0.25">
      <c r="A261" s="1" t="s">
        <v>131</v>
      </c>
      <c r="B261">
        <f>20400-3873</f>
        <v>16527</v>
      </c>
    </row>
    <row r="262" spans="1:2" x14ac:dyDescent="0.25">
      <c r="A262" s="1" t="s">
        <v>132</v>
      </c>
      <c r="B262">
        <f>112700+B247+B248</f>
        <v>153394</v>
      </c>
    </row>
    <row r="263" spans="1:2" x14ac:dyDescent="0.25">
      <c r="A263" s="1" t="s">
        <v>3</v>
      </c>
      <c r="B263">
        <f>227670+B246+C224+C230</f>
        <v>229139</v>
      </c>
    </row>
    <row r="264" spans="1:2" x14ac:dyDescent="0.25">
      <c r="A264" s="1" t="s">
        <v>139</v>
      </c>
      <c r="B264">
        <f>D2+B251</f>
        <v>105428.56999999995</v>
      </c>
    </row>
  </sheetData>
  <autoFilter ref="D1:D249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D434-6BC4-4AAA-99DE-9412FB990D39}">
  <dimension ref="A2:B5"/>
  <sheetViews>
    <sheetView workbookViewId="0">
      <selection activeCell="E32" sqref="E32"/>
    </sheetView>
  </sheetViews>
  <sheetFormatPr defaultRowHeight="13.8" x14ac:dyDescent="0.25"/>
  <sheetData>
    <row r="2" spans="1:2" x14ac:dyDescent="0.25">
      <c r="A2" t="s">
        <v>121</v>
      </c>
      <c r="B2">
        <v>2000</v>
      </c>
    </row>
    <row r="3" spans="1:2" x14ac:dyDescent="0.25">
      <c r="A3" t="s">
        <v>122</v>
      </c>
      <c r="B3">
        <v>2000</v>
      </c>
    </row>
    <row r="4" spans="1:2" x14ac:dyDescent="0.25">
      <c r="A4" t="s">
        <v>123</v>
      </c>
      <c r="B4">
        <v>2000</v>
      </c>
    </row>
    <row r="5" spans="1:2" x14ac:dyDescent="0.25">
      <c r="A5" t="s">
        <v>124</v>
      </c>
      <c r="B5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现金流</vt:lpstr>
      <vt:lpstr>情谊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yansong.dys</dc:creator>
  <cp:lastModifiedBy>yansong.dys</cp:lastModifiedBy>
  <dcterms:created xsi:type="dcterms:W3CDTF">2015-06-05T18:19:34Z</dcterms:created>
  <dcterms:modified xsi:type="dcterms:W3CDTF">2025-08-24T01:36:20Z</dcterms:modified>
</cp:coreProperties>
</file>