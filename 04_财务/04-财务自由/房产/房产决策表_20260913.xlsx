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4-财务自由\房产\"/>
    </mc:Choice>
  </mc:AlternateContent>
  <bookViews>
    <workbookView/>
  </bookViews>
  <sheets>
    <sheet name="1.资产总览" sheetId="1" r:id="rId1"/>
    <sheet name="2.价格与税费测算" sheetId="2" r:id="rId2"/>
    <sheet name="3.持有成本" sheetId="3" r:id="rId3"/>
    <sheet name="4.假设与数据来源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<sst xmlns="http://schemas.openxmlformats.org/spreadsheetml/2006/main" count="158" uniqueCount="132">
  <si>
    <t>Anson 家庭房产持有/出售决策表</t>
  </si>
  <si>
    <t>数据日期：2026-09-13 | 单价来源：安居客/房天下/贝壳 2026年8-9月参考价 | 蓝色=输入值，黄色=待核实假设值</t>
  </si>
  <si>
    <t>序号</t>
  </si>
  <si>
    <t>房产名称</t>
  </si>
  <si>
    <t>城市/区域</t>
  </si>
  <si>
    <t>权利人</t>
  </si>
  <si>
    <t>产权性质</t>
  </si>
  <si>
    <t>建筑面积(㎡)</t>
  </si>
  <si>
    <t>原购单价(元/㎡)</t>
  </si>
  <si>
    <t>原购总价(元)</t>
  </si>
  <si>
    <t>现参考单价(元/㎡)</t>
  </si>
  <si>
    <t>当前市值(元)</t>
  </si>
  <si>
    <t>涨跌幅</t>
  </si>
  <si>
    <t>建议处置</t>
  </si>
  <si>
    <t>出售优先级</t>
  </si>
  <si>
    <t>孔雀城泊心园 0015#3-602</t>
  </si>
  <si>
    <t>廊坊固安</t>
  </si>
  <si>
    <t>杜岩松</t>
  </si>
  <si>
    <t>住宅(商品房)</t>
  </si>
  <si>
    <t>出售</t>
  </si>
  <si>
    <t>高</t>
  </si>
  <si>
    <t>孔雀城领航城二区19-1-2301</t>
  </si>
  <si>
    <t>廊坊广阳·万庄</t>
  </si>
  <si>
    <t>朱江妍</t>
  </si>
  <si>
    <t>孔雀城大学里 GY5-4-1802</t>
  </si>
  <si>
    <t>廊坊开发区</t>
  </si>
  <si>
    <t>公寓(商业)</t>
  </si>
  <si>
    <t>中</t>
  </si>
  <si>
    <t>恒大城市之光二期</t>
  </si>
  <si>
    <t>深圳龙岗·中心城</t>
  </si>
  <si>
    <t>Anson</t>
  </si>
  <si>
    <t>佳乐国际城 35-2-22-1</t>
  </si>
  <si>
    <t>成都新都·三河</t>
  </si>
  <si>
    <t>刘丽英(岳母)</t>
  </si>
  <si>
    <t>自住则留/空置则卖</t>
  </si>
  <si>
    <t>低</t>
  </si>
  <si>
    <t>合计（5 套）</t>
  </si>
  <si>
    <t>注：市值按同小区参考均价估算，非实际成交价；原购总价未计契税、维修基金、贷款利息，实际盈亏应再扣减资金成本。</t>
  </si>
  <si>
    <t>逐套价格建议与卖方税费测算（人民币·元）</t>
  </si>
  <si>
    <t>住宅：满2年免增值税，满五唯一免个税；公寓(商业)：差额5.6%增值税及附加 + 核定5%土地增值税 + 核定3%个税 + 0.05%印花税。税率为估算，以属地税务核定为准。</t>
  </si>
  <si>
    <t>建议挂牌价</t>
  </si>
  <si>
    <t>目标成交价</t>
  </si>
  <si>
    <t>心理底价</t>
  </si>
  <si>
    <t>增值税及附加</t>
  </si>
  <si>
    <t>个人所得税</t>
  </si>
  <si>
    <t>土地增值税</t>
  </si>
  <si>
    <t>印花税</t>
  </si>
  <si>
    <t>中介费(2%)</t>
  </si>
  <si>
    <t>卖方税费合计</t>
  </si>
  <si>
    <t>预计到手价</t>
  </si>
  <si>
    <t>相对原值盈亏(到手价口径)</t>
  </si>
  <si>
    <t>孔雀城泊心园</t>
  </si>
  <si>
    <t>孔雀城领航城二区</t>
  </si>
  <si>
    <t>孔雀城大学里(公寓)</t>
  </si>
  <si>
    <t>恒大城市之光二期(公寓)</t>
  </si>
  <si>
    <t>佳乐国际城</t>
  </si>
  <si>
    <t>合计</t>
  </si>
  <si>
    <t>税费口径说明：</t>
  </si>
  <si>
    <t>· 泊心园 / 领航城：已满2年且为家庭唯一住房，增值税、个税双双免征（需确认契税缴纳时间以认定满五）。</t>
  </si>
  <si>
    <t>· 大学里：商业公寓，按成交价核定征收，实际税负可能因属地不同上下浮动，务必先到税务窗口试算。</t>
  </si>
  <si>
    <t>· 恒大城市之光：原值180万高于现价，差额增值税为0；但土增税多按核定征收，亏损也要交，是公寓最大的税务痛点。</t>
  </si>
  <si>
    <t>· 佳乐国际城：若契税缴纳已满5年且为唯一住房，个税10,300元可全免，到手价上浮约1万。</t>
  </si>
  <si>
    <t>· 底价以下建议改为出租持有，不割肉。</t>
  </si>
  <si>
    <t>持有成本与现金流对比（元/年）</t>
  </si>
  <si>
    <t>物业费、租金为估算值（黄色），需按实际合同核对。</t>
  </si>
  <si>
    <t>年物业费</t>
  </si>
  <si>
    <t>年采暖/其他</t>
  </si>
  <si>
    <t>年租金收入</t>
  </si>
  <si>
    <t>年净现金流</t>
  </si>
  <si>
    <t>使用状态</t>
  </si>
  <si>
    <t>结论</t>
  </si>
  <si>
    <t>空置</t>
  </si>
  <si>
    <t>环京空置即纯亏，尽快出售</t>
  </si>
  <si>
    <t>同上，且已亏63%</t>
  </si>
  <si>
    <t>商业性质，租金低、税费重，出售</t>
  </si>
  <si>
    <t>出租</t>
  </si>
  <si>
    <t>深圳租金可覆盖成本，但公寓升值弱，可择机卖</t>
  </si>
  <si>
    <t>岳母自住?</t>
  </si>
  <si>
    <t>若自住则保留；空置则出售回笼现金</t>
  </si>
  <si>
    <t>关键假设与数据来源</t>
  </si>
  <si>
    <t>项目</t>
  </si>
  <si>
    <t>取值</t>
  </si>
  <si>
    <t>性质</t>
  </si>
  <si>
    <t>来源 / 说明</t>
  </si>
  <si>
    <t>孔雀城泊心园 参考单价</t>
  </si>
  <si>
    <t>9,500 元/㎡</t>
  </si>
  <si>
    <t>外部行情</t>
  </si>
  <si>
    <t>房天下 2026年8月参考价 9,536 元/㎡；同户型114.21㎡挂牌9,456元/㎡</t>
  </si>
  <si>
    <t>孔雀城领航城 参考单价</t>
  </si>
  <si>
    <t>6,395 元/㎡</t>
  </si>
  <si>
    <t>安居客小区均价 6,395 元/㎡（廊坊广阳·万庄）</t>
  </si>
  <si>
    <t>孔雀城大学里 参考单价</t>
  </si>
  <si>
    <t>6,000 元/㎡</t>
  </si>
  <si>
    <t>估算(待核实)</t>
  </si>
  <si>
    <t>贝壳参考均价 7,666 元/㎡（含住宅），公寓通常折价20-40%，取6,000</t>
  </si>
  <si>
    <t>大学里 原购单价</t>
  </si>
  <si>
    <t>5,000 元/㎡</t>
  </si>
  <si>
    <t>假设(待核实)</t>
  </si>
  <si>
    <t>未提供原始购房价，按2016年前后廊坊开发区公寓价假设，请更新</t>
  </si>
  <si>
    <t>恒大城市之光 参考单价</t>
  </si>
  <si>
    <t>18,000 元/㎡</t>
  </si>
  <si>
    <t>安居客 17,252 元/㎡（公寓口径）；房天下2022年参考价 20,402 元/㎡，取中间值</t>
  </si>
  <si>
    <t>佳乐国际城 参考单价</t>
  </si>
  <si>
    <t>9,750 元/㎡</t>
  </si>
  <si>
    <t>楼盘网一期参考价12,973元/㎡偏虚高；房天下挂牌9,480–10,000元/㎡，新都区均价8,011元/㎡</t>
  </si>
  <si>
    <t>佳乐国际城 原购单价</t>
  </si>
  <si>
    <t>6,500 元/㎡</t>
  </si>
  <si>
    <t>未提供原购价，仅用于计算，请按实际购房发票更新</t>
  </si>
  <si>
    <t>中介费率</t>
  </si>
  <si>
    <t>2%</t>
  </si>
  <si>
    <t>假设</t>
  </si>
  <si>
    <t>卖方承担口径，实际可谈至1%–1.5%</t>
  </si>
  <si>
    <t>公寓增值税及附加率</t>
  </si>
  <si>
    <t>5.6%</t>
  </si>
  <si>
    <t>政策口径</t>
  </si>
  <si>
    <t>差额×5%增值税 + 附加税费约12%（增值税的）</t>
  </si>
  <si>
    <t>公寓土地增值税</t>
  </si>
  <si>
    <t>核定5%</t>
  </si>
  <si>
    <t>各地核定率不同（常见3%–6%），以属地税务核定为准</t>
  </si>
  <si>
    <t>公寓个税</t>
  </si>
  <si>
    <t>核定3%</t>
  </si>
  <si>
    <t>非住宅转让，部分地区按差额20%据实征收</t>
  </si>
  <si>
    <t>住宅个税</t>
  </si>
  <si>
    <t>核定1%</t>
  </si>
  <si>
    <t>满五唯一免征；否则按1%核定或差额20%</t>
  </si>
  <si>
    <t>物业费单价</t>
  </si>
  <si>
    <t>住宅2元/㎡/月，公寓3–3.5元/㎡/月</t>
  </si>
  <si>
    <t>估算</t>
  </si>
  <si>
    <t>需按小区实际物业费标准更新</t>
  </si>
  <si>
    <t>租金水平</t>
  </si>
  <si>
    <t>见Sheet3</t>
  </si>
  <si>
    <t>需按实际租赁合同或市场租金更新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</si>
</sst>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\(#,##0\);\-"/>
    <numFmt numFmtId="177" formatCode="0.0%;\(0.0%\);\-"/>
  </numFmts>
  <fonts count="28">
    <font>
      <sz val="11"/>
      <color theme="1"/>
      <name val="宋体"/>
      <charset val="134"/>
      <scheme val="minor"/>
    </font>
    <font>
      <b/>
      <sz val="13"/>
      <color rgb="FF1F4E78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sz val="10"/>
      <color rgb="FF0000FF"/>
      <name val="Arial"/>
      <charset val="134"/>
    </font>
    <font>
      <i/>
      <sz val="9"/>
      <color rgb="FF808080"/>
      <name val="Arial"/>
      <charset val="134"/>
    </font>
    <font>
      <sz val="10"/>
      <color rgb="FF008000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0" xfId="0" applyFont="1"/>
    <xf numFmtId="176" fontId="4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7" fillId="4" borderId="1" xfId="0" applyNumberFormat="1" applyFont="1" applyFill="1" applyBorder="1"/>
    <xf numFmtId="0" fontId="7" fillId="0" borderId="0" xfId="0" applyFont="1"/>
    <xf numFmtId="0" fontId="3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7" fillId="4" borderId="1" xfId="0" applyFont="1" applyFill="1" applyBorder="1"/>
    <xf numFmtId="4" fontId="7" fillId="4" borderId="1" xfId="0" applyNumberFormat="1" applyFont="1" applyFill="1" applyBorder="1"/>
    <xf numFmtId="177" fontId="7" fillId="4" borderId="1" xfId="0" applyNumberFormat="1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A1" sqref="A1:M1"/>
    </sheetView>
  </sheetViews>
  <sheetFormatPr defaultColWidth="9" defaultRowHeight="14"/>
  <cols>
    <col min="1" max="1" width="5" customWidth="1"/>
    <col min="2" max="2" width="26" customWidth="1"/>
    <col min="3" max="3" width="16" customWidth="1"/>
    <col min="4" max="5" width="14" customWidth="1"/>
    <col min="6" max="6" width="12" customWidth="1"/>
    <col min="7" max="7" width="13" customWidth="1"/>
    <col min="8" max="9" width="14" customWidth="1"/>
    <col min="10" max="10" width="15" customWidth="1"/>
    <col min="11" max="11" width="10" customWidth="1"/>
    <col min="12" max="12" width="20" customWidth="1"/>
    <col min="13" max="13" width="10" customWidth="1"/>
  </cols>
  <sheetData>
    <row r="1" ht="16.5" spans="1:13">
      <c r="A1" s="1" t="s">
        <v>0</v>
      </c>
    </row>
    <row r="2" spans="1:13">
      <c r="A2" s="6" t="s">
        <v>1</v>
      </c>
    </row>
    <row r="4" ht="30" customHeight="1" spans="1:1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>
      <c r="A5" s="12">
        <v>1</v>
      </c>
      <c r="B5" s="12" t="s">
        <v>15</v>
      </c>
      <c r="C5" s="12" t="s">
        <v>16</v>
      </c>
      <c r="D5" s="12" t="s">
        <v>17</v>
      </c>
      <c r="E5" s="12" t="s">
        <v>18</v>
      </c>
      <c r="F5" s="13">
        <v>114.21</v>
      </c>
      <c r="G5" s="7">
        <v>7000</v>
      </c>
      <c r="H5" s="8">
        <f>F5*G5</f>
        <v>799470</v>
      </c>
      <c r="I5" s="7">
        <v>9500</v>
      </c>
      <c r="J5" s="8">
        <f>F5*I5</f>
        <v>1084995</v>
      </c>
      <c r="K5" s="14">
        <f>(I5-G5)/G5</f>
        <v>0.357142857142857</v>
      </c>
      <c r="L5" s="12" t="s">
        <v>19</v>
      </c>
      <c r="M5" s="12" t="s">
        <v>20</v>
      </c>
    </row>
    <row r="6" spans="1:13">
      <c r="A6" s="12">
        <v>2</v>
      </c>
      <c r="B6" s="12" t="s">
        <v>21</v>
      </c>
      <c r="C6" s="12" t="s">
        <v>22</v>
      </c>
      <c r="D6" s="12" t="s">
        <v>23</v>
      </c>
      <c r="E6" s="12" t="s">
        <v>18</v>
      </c>
      <c r="F6" s="13">
        <v>124.19</v>
      </c>
      <c r="G6" s="7">
        <v>17000</v>
      </c>
      <c r="H6" s="8">
        <f>F6*G6</f>
        <v>2111230</v>
      </c>
      <c r="I6" s="7">
        <v>6395</v>
      </c>
      <c r="J6" s="8">
        <f>F6*I6</f>
        <v>794195.05</v>
      </c>
      <c r="K6" s="14">
        <f>(I6-G6)/G6</f>
        <v>-0.623823529411765</v>
      </c>
      <c r="L6" s="12" t="s">
        <v>19</v>
      </c>
      <c r="M6" s="12" t="s">
        <v>20</v>
      </c>
    </row>
    <row r="7" spans="1:13">
      <c r="A7" s="12">
        <v>3</v>
      </c>
      <c r="B7" s="12" t="s">
        <v>24</v>
      </c>
      <c r="C7" s="12" t="s">
        <v>25</v>
      </c>
      <c r="D7" s="12" t="s">
        <v>17</v>
      </c>
      <c r="E7" s="12" t="s">
        <v>26</v>
      </c>
      <c r="F7" s="13">
        <v>71.56</v>
      </c>
      <c r="G7" s="15">
        <v>5000</v>
      </c>
      <c r="H7" s="8">
        <f>F7*G7</f>
        <v>357800</v>
      </c>
      <c r="I7" s="15">
        <v>6000</v>
      </c>
      <c r="J7" s="8">
        <f>F7*I7</f>
        <v>429360</v>
      </c>
      <c r="K7" s="14">
        <f>(I7-G7)/G7</f>
        <v>0.2</v>
      </c>
      <c r="L7" s="12" t="s">
        <v>19</v>
      </c>
      <c r="M7" s="12" t="s">
        <v>27</v>
      </c>
    </row>
    <row r="8" spans="1:13">
      <c r="A8" s="12">
        <v>4</v>
      </c>
      <c r="B8" s="12" t="s">
        <v>28</v>
      </c>
      <c r="C8" s="12" t="s">
        <v>29</v>
      </c>
      <c r="D8" s="12" t="s">
        <v>30</v>
      </c>
      <c r="E8" s="12" t="s">
        <v>26</v>
      </c>
      <c r="F8" s="13">
        <v>72</v>
      </c>
      <c r="G8" s="15">
        <v>25000</v>
      </c>
      <c r="H8" s="8">
        <f>F8*G8</f>
        <v>1800000</v>
      </c>
      <c r="I8" s="15">
        <v>18000</v>
      </c>
      <c r="J8" s="8">
        <f>F8*I8</f>
        <v>1296000</v>
      </c>
      <c r="K8" s="14">
        <f>(I8-G8)/G8</f>
        <v>-0.28</v>
      </c>
      <c r="L8" s="12" t="s">
        <v>19</v>
      </c>
      <c r="M8" s="12" t="s">
        <v>27</v>
      </c>
    </row>
    <row r="9" spans="1:13">
      <c r="A9" s="12">
        <v>5</v>
      </c>
      <c r="B9" s="12" t="s">
        <v>31</v>
      </c>
      <c r="C9" s="12" t="s">
        <v>32</v>
      </c>
      <c r="D9" s="12" t="s">
        <v>33</v>
      </c>
      <c r="E9" s="12" t="s">
        <v>18</v>
      </c>
      <c r="F9" s="13">
        <v>108.2</v>
      </c>
      <c r="G9" s="15">
        <v>6500</v>
      </c>
      <c r="H9" s="8">
        <f>F9*G9</f>
        <v>703300</v>
      </c>
      <c r="I9" s="15">
        <v>9750</v>
      </c>
      <c r="J9" s="8">
        <f>F9*I9</f>
        <v>1054950</v>
      </c>
      <c r="K9" s="14">
        <f>(I9-G9)/G9</f>
        <v>0.5</v>
      </c>
      <c r="L9" s="12" t="s">
        <v>34</v>
      </c>
      <c r="M9" s="12" t="s">
        <v>35</v>
      </c>
    </row>
    <row r="10" spans="1:13">
      <c r="A10" s="16"/>
      <c r="B10" s="17" t="s">
        <v>36</v>
      </c>
      <c r="C10" s="16"/>
      <c r="D10" s="16"/>
      <c r="E10" s="16"/>
      <c r="F10" s="18">
        <f>SUM(F5:F9)</f>
        <v>490.16</v>
      </c>
      <c r="G10" s="16"/>
      <c r="H10" s="10">
        <f>SUM(H5:H9)</f>
        <v>5771800</v>
      </c>
      <c r="I10" s="16"/>
      <c r="J10" s="10">
        <f>SUM(J5:J9)</f>
        <v>4659500.05</v>
      </c>
      <c r="K10" s="19">
        <f>IF(H10=0,0,(J10-H10)/H10)</f>
        <v>-0.192712836550123</v>
      </c>
      <c r="L10" s="16"/>
      <c r="M10" s="16"/>
    </row>
    <row r="12" spans="1:13">
      <c r="A12" s="6" t="s">
        <v>37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A1" sqref="A1:L1"/>
    </sheetView>
  </sheetViews>
  <sheetFormatPr defaultColWidth="9" defaultRowHeight="14"/>
  <cols>
    <col min="1" max="1" width="24" customWidth="1"/>
    <col min="2" max="4" width="14" customWidth="1"/>
    <col min="5" max="7" width="12" customWidth="1"/>
    <col min="8" max="8" width="11" customWidth="1"/>
    <col min="9" max="9" width="12" customWidth="1"/>
    <col min="10" max="10" width="13" customWidth="1"/>
    <col min="11" max="12" width="14" customWidth="1"/>
  </cols>
  <sheetData>
    <row r="1" ht="16.5" spans="1:12">
      <c r="A1" s="1" t="s">
        <v>38</v>
      </c>
    </row>
    <row r="2" spans="1:12">
      <c r="A2" s="6" t="s">
        <v>39</v>
      </c>
    </row>
    <row r="4" ht="30" customHeight="1" spans="1:12">
      <c r="A4" s="2" t="s">
        <v>3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</row>
    <row r="5" spans="1:12">
      <c r="A5" s="8" t="s">
        <v>51</v>
      </c>
      <c r="B5" s="7">
        <v>1100000</v>
      </c>
      <c r="C5" s="7">
        <v>1050000</v>
      </c>
      <c r="D5" s="7">
        <v>1000000</v>
      </c>
      <c r="E5" s="7">
        <v>0</v>
      </c>
      <c r="F5" s="7">
        <v>0</v>
      </c>
      <c r="G5" s="7">
        <v>0</v>
      </c>
      <c r="H5" s="7">
        <v>0</v>
      </c>
      <c r="I5" s="8">
        <f>C5*0.02</f>
        <v>21000</v>
      </c>
      <c r="J5" s="8">
        <f>SUM(E5:I5)</f>
        <v>21000</v>
      </c>
      <c r="K5" s="8">
        <f>C5-J5</f>
        <v>1029000</v>
      </c>
      <c r="L5" s="9">
        <f>K5-'1.资产总览'!H5</f>
        <v>229530</v>
      </c>
    </row>
    <row r="6" spans="1:12">
      <c r="A6" s="8" t="s">
        <v>52</v>
      </c>
      <c r="B6" s="7">
        <v>850000</v>
      </c>
      <c r="C6" s="7">
        <v>795000</v>
      </c>
      <c r="D6" s="7">
        <v>760000</v>
      </c>
      <c r="E6" s="7">
        <v>0</v>
      </c>
      <c r="F6" s="7">
        <v>0</v>
      </c>
      <c r="G6" s="7">
        <v>0</v>
      </c>
      <c r="H6" s="7">
        <v>0</v>
      </c>
      <c r="I6" s="8">
        <f>C6*0.02</f>
        <v>15900</v>
      </c>
      <c r="J6" s="8">
        <f>SUM(E6:I6)</f>
        <v>15900</v>
      </c>
      <c r="K6" s="8">
        <f>C6-J6</f>
        <v>779100</v>
      </c>
      <c r="L6" s="9">
        <f>K6-'1.资产总览'!H6</f>
        <v>-1332130</v>
      </c>
    </row>
    <row r="7" spans="1:12">
      <c r="A7" s="8" t="s">
        <v>53</v>
      </c>
      <c r="B7" s="7">
        <v>480000</v>
      </c>
      <c r="C7" s="7">
        <v>430000</v>
      </c>
      <c r="D7" s="7">
        <v>400000</v>
      </c>
      <c r="E7" s="7">
        <v>4043</v>
      </c>
      <c r="F7" s="7">
        <v>12900</v>
      </c>
      <c r="G7" s="7">
        <v>21500</v>
      </c>
      <c r="H7" s="7">
        <v>215</v>
      </c>
      <c r="I7" s="8">
        <f>C7*0.02</f>
        <v>8600</v>
      </c>
      <c r="J7" s="8">
        <f>SUM(E7:I7)</f>
        <v>47258</v>
      </c>
      <c r="K7" s="8">
        <f>C7-J7</f>
        <v>382742</v>
      </c>
      <c r="L7" s="9">
        <f>K7-'1.资产总览'!H7</f>
        <v>24942</v>
      </c>
    </row>
    <row r="8" spans="1:12">
      <c r="A8" s="8" t="s">
        <v>54</v>
      </c>
      <c r="B8" s="7">
        <v>1380000</v>
      </c>
      <c r="C8" s="7">
        <v>1296000</v>
      </c>
      <c r="D8" s="7">
        <v>1200000</v>
      </c>
      <c r="E8" s="7">
        <v>0</v>
      </c>
      <c r="F8" s="7">
        <v>0</v>
      </c>
      <c r="G8" s="7">
        <v>64800</v>
      </c>
      <c r="H8" s="7">
        <v>648</v>
      </c>
      <c r="I8" s="8">
        <f>C8*0.02</f>
        <v>25920</v>
      </c>
      <c r="J8" s="8">
        <f>SUM(E8:I8)</f>
        <v>91368</v>
      </c>
      <c r="K8" s="8">
        <f>C8-J8</f>
        <v>1204632</v>
      </c>
      <c r="L8" s="9">
        <f>K8-'1.资产总览'!H8</f>
        <v>-595368</v>
      </c>
    </row>
    <row r="9" spans="1:12">
      <c r="A9" s="8" t="s">
        <v>55</v>
      </c>
      <c r="B9" s="7">
        <v>1100000</v>
      </c>
      <c r="C9" s="7">
        <v>1030000</v>
      </c>
      <c r="D9" s="7">
        <v>970000</v>
      </c>
      <c r="E9" s="7">
        <v>0</v>
      </c>
      <c r="F9" s="7">
        <v>10300</v>
      </c>
      <c r="G9" s="7">
        <v>0</v>
      </c>
      <c r="H9" s="7">
        <v>0</v>
      </c>
      <c r="I9" s="8">
        <f>C9*0.02</f>
        <v>20600</v>
      </c>
      <c r="J9" s="8">
        <f>SUM(E9:I9)</f>
        <v>30900</v>
      </c>
      <c r="K9" s="8">
        <f>C9-J9</f>
        <v>999100</v>
      </c>
      <c r="L9" s="9">
        <f>K9-'1.资产总览'!H9</f>
        <v>295800</v>
      </c>
    </row>
    <row r="10" spans="1:12">
      <c r="A10" s="10" t="s">
        <v>56</v>
      </c>
      <c r="B10" s="10">
        <f t="shared" ref="B10:L10" si="0">SUM(B5:B9)</f>
        <v>4910000</v>
      </c>
      <c r="C10" s="10">
        <f t="shared" si="0"/>
        <v>4601000</v>
      </c>
      <c r="D10" s="10">
        <f t="shared" si="0"/>
        <v>4330000</v>
      </c>
      <c r="E10" s="10">
        <f t="shared" si="0"/>
        <v>4043</v>
      </c>
      <c r="F10" s="10">
        <f t="shared" si="0"/>
        <v>23200</v>
      </c>
      <c r="G10" s="10">
        <f t="shared" si="0"/>
        <v>86300</v>
      </c>
      <c r="H10" s="10">
        <f t="shared" si="0"/>
        <v>863</v>
      </c>
      <c r="I10" s="10">
        <f t="shared" si="0"/>
        <v>92020</v>
      </c>
      <c r="J10" s="10">
        <f t="shared" si="0"/>
        <v>206426</v>
      </c>
      <c r="K10" s="10">
        <f t="shared" si="0"/>
        <v>4394574</v>
      </c>
      <c r="L10" s="10">
        <f t="shared" si="0"/>
        <v>-1377226</v>
      </c>
    </row>
    <row r="12" spans="1:12">
      <c r="A12" s="11" t="s">
        <v>57</v>
      </c>
    </row>
    <row r="13" spans="1:12">
      <c r="A13" s="6" t="s">
        <v>58</v>
      </c>
    </row>
    <row r="14" spans="1:12">
      <c r="A14" s="6" t="s">
        <v>59</v>
      </c>
    </row>
    <row r="15" spans="1:12">
      <c r="A15" s="6" t="s">
        <v>60</v>
      </c>
    </row>
    <row r="16" spans="1:12">
      <c r="A16" s="6" t="s">
        <v>61</v>
      </c>
    </row>
    <row r="17" spans="1:1">
      <c r="A17" s="6" t="s">
        <v>62</v>
      </c>
    </row>
  </sheetData>
  <mergeCells count="7">
    <mergeCell ref="A1:L1"/>
    <mergeCell ref="A2:L2"/>
    <mergeCell ref="A13:L13"/>
    <mergeCell ref="A14:L14"/>
    <mergeCell ref="A15:L15"/>
    <mergeCell ref="A16:L16"/>
    <mergeCell ref="A17:L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:H1"/>
    </sheetView>
  </sheetViews>
  <sheetFormatPr defaultColWidth="9" defaultRowHeight="14" outlineLevelCol="7"/>
  <cols>
    <col min="1" max="1" width="24" customWidth="1"/>
    <col min="2" max="2" width="12" customWidth="1"/>
    <col min="3" max="3" width="13" customWidth="1"/>
    <col min="4" max="4" width="12" customWidth="1"/>
    <col min="5" max="5" width="13" customWidth="1"/>
    <col min="6" max="6" width="12" customWidth="1"/>
    <col min="7" max="7" width="42" customWidth="1"/>
  </cols>
  <sheetData>
    <row r="1" ht="16.5" spans="1:7">
      <c r="A1" s="1" t="s">
        <v>63</v>
      </c>
    </row>
    <row r="2" spans="1:7">
      <c r="A2" s="6" t="s">
        <v>64</v>
      </c>
    </row>
    <row r="4" ht="30" customHeight="1" spans="1:7">
      <c r="A4" s="2" t="s">
        <v>3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  <c r="G4" s="2" t="s">
        <v>70</v>
      </c>
    </row>
    <row r="5" spans="1:7">
      <c r="A5" s="3" t="s">
        <v>51</v>
      </c>
      <c r="B5" s="7">
        <v>2741</v>
      </c>
      <c r="C5" s="7">
        <v>2513</v>
      </c>
      <c r="D5" s="7">
        <v>18000</v>
      </c>
      <c r="E5" s="8">
        <f>D5-B5-C5</f>
        <v>12746</v>
      </c>
      <c r="F5" s="3" t="s">
        <v>71</v>
      </c>
      <c r="G5" s="3" t="s">
        <v>72</v>
      </c>
    </row>
    <row r="6" spans="1:7">
      <c r="A6" s="3" t="s">
        <v>52</v>
      </c>
      <c r="B6" s="7">
        <v>2981</v>
      </c>
      <c r="C6" s="7">
        <v>2732</v>
      </c>
      <c r="D6" s="7">
        <v>19200</v>
      </c>
      <c r="E6" s="8">
        <f>D6-B6-C6</f>
        <v>13487</v>
      </c>
      <c r="F6" s="3" t="s">
        <v>71</v>
      </c>
      <c r="G6" s="3" t="s">
        <v>73</v>
      </c>
    </row>
    <row r="7" spans="1:7">
      <c r="A7" s="3" t="s">
        <v>53</v>
      </c>
      <c r="B7" s="7">
        <v>2576</v>
      </c>
      <c r="C7" s="7">
        <v>1200</v>
      </c>
      <c r="D7" s="7">
        <v>13200</v>
      </c>
      <c r="E7" s="8">
        <f>D7-B7-C7</f>
        <v>9424</v>
      </c>
      <c r="F7" s="3" t="s">
        <v>71</v>
      </c>
      <c r="G7" s="3" t="s">
        <v>74</v>
      </c>
    </row>
    <row r="8" spans="1:7">
      <c r="A8" s="3" t="s">
        <v>54</v>
      </c>
      <c r="B8" s="7">
        <v>3024</v>
      </c>
      <c r="C8" s="7">
        <v>0</v>
      </c>
      <c r="D8" s="7">
        <v>33600</v>
      </c>
      <c r="E8" s="8">
        <f>D8-B8-C8</f>
        <v>30576</v>
      </c>
      <c r="F8" s="3" t="s">
        <v>75</v>
      </c>
      <c r="G8" s="3" t="s">
        <v>76</v>
      </c>
    </row>
    <row r="9" spans="1:7">
      <c r="A9" s="3" t="s">
        <v>55</v>
      </c>
      <c r="B9" s="7">
        <v>2597</v>
      </c>
      <c r="C9" s="7">
        <v>800</v>
      </c>
      <c r="D9" s="7">
        <v>27600</v>
      </c>
      <c r="E9" s="8">
        <f>D9-B9-C9</f>
        <v>24203</v>
      </c>
      <c r="F9" s="3" t="s">
        <v>77</v>
      </c>
      <c r="G9" s="3" t="s">
        <v>78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:D1"/>
    </sheetView>
  </sheetViews>
  <sheetFormatPr defaultColWidth="9" defaultRowHeight="14" outlineLevelCol="3"/>
  <cols>
    <col min="1" max="2" width="26" customWidth="1"/>
    <col min="3" max="3" width="14" customWidth="1"/>
    <col min="4" max="4" width="62" customWidth="1"/>
  </cols>
  <sheetData>
    <row r="1" ht="16.5" spans="1:4">
      <c r="A1" s="1" t="s">
        <v>79</v>
      </c>
    </row>
    <row r="3" spans="1:4">
      <c r="A3" s="2" t="s">
        <v>80</v>
      </c>
      <c r="B3" s="2" t="s">
        <v>81</v>
      </c>
      <c r="C3" s="2" t="s">
        <v>82</v>
      </c>
      <c r="D3" s="2" t="s">
        <v>83</v>
      </c>
    </row>
    <row r="4" ht="30" customHeight="1" spans="1:4">
      <c r="A4" s="3" t="s">
        <v>84</v>
      </c>
      <c r="B4" s="4" t="s">
        <v>85</v>
      </c>
      <c r="C4" s="3" t="s">
        <v>86</v>
      </c>
      <c r="D4" s="3" t="s">
        <v>87</v>
      </c>
    </row>
    <row r="5" spans="1:4">
      <c r="A5" s="3" t="s">
        <v>88</v>
      </c>
      <c r="B5" s="4" t="s">
        <v>89</v>
      </c>
      <c r="C5" s="3" t="s">
        <v>86</v>
      </c>
      <c r="D5" s="3" t="s">
        <v>90</v>
      </c>
    </row>
    <row r="6" spans="1:4">
      <c r="A6" s="3" t="s">
        <v>91</v>
      </c>
      <c r="B6" s="5" t="s">
        <v>92</v>
      </c>
      <c r="C6" s="3" t="s">
        <v>93</v>
      </c>
      <c r="D6" s="3" t="s">
        <v>94</v>
      </c>
    </row>
    <row r="7" spans="1:4">
      <c r="A7" s="3" t="s">
        <v>95</v>
      </c>
      <c r="B7" s="5" t="s">
        <v>96</v>
      </c>
      <c r="C7" s="3" t="s">
        <v>97</v>
      </c>
      <c r="D7" s="3" t="s">
        <v>98</v>
      </c>
    </row>
    <row r="8" ht="26" spans="1:4">
      <c r="A8" s="3" t="s">
        <v>99</v>
      </c>
      <c r="B8" s="5" t="s">
        <v>100</v>
      </c>
      <c r="C8" s="3" t="s">
        <v>93</v>
      </c>
      <c r="D8" s="3" t="s">
        <v>101</v>
      </c>
    </row>
    <row r="9" ht="26" spans="1:4">
      <c r="A9" s="3" t="s">
        <v>102</v>
      </c>
      <c r="B9" s="5" t="s">
        <v>103</v>
      </c>
      <c r="C9" s="3" t="s">
        <v>93</v>
      </c>
      <c r="D9" s="3" t="s">
        <v>104</v>
      </c>
    </row>
    <row r="10" spans="1:4">
      <c r="A10" s="3" t="s">
        <v>105</v>
      </c>
      <c r="B10" s="5" t="s">
        <v>106</v>
      </c>
      <c r="C10" s="3" t="s">
        <v>97</v>
      </c>
      <c r="D10" s="3" t="s">
        <v>107</v>
      </c>
    </row>
    <row r="11" spans="1:4">
      <c r="A11" s="3" t="s">
        <v>108</v>
      </c>
      <c r="B11" s="4" t="s">
        <v>109</v>
      </c>
      <c r="C11" s="3" t="s">
        <v>110</v>
      </c>
      <c r="D11" s="3" t="s">
        <v>111</v>
      </c>
    </row>
    <row r="12" spans="1:4">
      <c r="A12" s="3" t="s">
        <v>112</v>
      </c>
      <c r="B12" s="4" t="s">
        <v>113</v>
      </c>
      <c r="C12" s="3" t="s">
        <v>114</v>
      </c>
      <c r="D12" s="3" t="s">
        <v>115</v>
      </c>
    </row>
    <row r="13" spans="1:4">
      <c r="A13" s="3" t="s">
        <v>116</v>
      </c>
      <c r="B13" s="4" t="s">
        <v>117</v>
      </c>
      <c r="C13" s="3" t="s">
        <v>114</v>
      </c>
      <c r="D13" s="3" t="s">
        <v>118</v>
      </c>
    </row>
    <row r="14" spans="1:4">
      <c r="A14" s="3" t="s">
        <v>119</v>
      </c>
      <c r="B14" s="4" t="s">
        <v>120</v>
      </c>
      <c r="C14" s="3" t="s">
        <v>114</v>
      </c>
      <c r="D14" s="3" t="s">
        <v>121</v>
      </c>
    </row>
    <row r="15" spans="1:4">
      <c r="A15" s="3" t="s">
        <v>122</v>
      </c>
      <c r="B15" s="4" t="s">
        <v>123</v>
      </c>
      <c r="C15" s="3" t="s">
        <v>114</v>
      </c>
      <c r="D15" s="3" t="s">
        <v>124</v>
      </c>
    </row>
    <row r="16" ht="26" spans="1:4">
      <c r="A16" s="3" t="s">
        <v>125</v>
      </c>
      <c r="B16" s="4" t="s">
        <v>126</v>
      </c>
      <c r="C16" s="3" t="s">
        <v>127</v>
      </c>
      <c r="D16" s="3" t="s">
        <v>128</v>
      </c>
    </row>
    <row r="17" spans="1:4">
      <c r="A17" s="3" t="s">
        <v>129</v>
      </c>
      <c r="B17" s="4" t="s">
        <v>130</v>
      </c>
      <c r="C17" s="3" t="s">
        <v>127</v>
      </c>
      <c r="D17" s="3" t="s">
        <v>131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1.资产总览</vt:lpstr>
      <vt:lpstr>2.价格与税费测算</vt:lpstr>
      <vt:lpstr>3.持有成本</vt:lpstr>
      <vt:lpstr>4.假设与数据来源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Anson</cp:lastModifiedBy>
  <dcterms:created xsi:type="dcterms:W3CDTF">2026-09-13T11:03:00Z</dcterms:created>
  <dcterms:modified xsi:type="dcterms:W3CDTF">2026-09-13T11:03:35Z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53B7FA6EE4D64F56BFD6EB8DDFE602A9_12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