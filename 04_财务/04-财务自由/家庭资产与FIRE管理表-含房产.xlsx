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8080" tabRatio="600" firstSheet="0" activeTab="0" autoFilterDateGrouping="1"/>
  </bookViews>
  <sheets>
    <sheet xmlns:r="http://schemas.openxmlformats.org/officeDocument/2006/relationships" name="总览看板" sheetId="1" state="visible" r:id="rId1"/>
    <sheet xmlns:r="http://schemas.openxmlformats.org/officeDocument/2006/relationships" name="资产明细" sheetId="2" state="visible" r:id="rId2"/>
    <sheet xmlns:r="http://schemas.openxmlformats.org/officeDocument/2006/relationships" name="保险权益与现金流" sheetId="3" state="visible" r:id="rId3"/>
    <sheet xmlns:r="http://schemas.openxmlformats.org/officeDocument/2006/relationships" name="教育金规划" sheetId="4" state="visible" r:id="rId4"/>
    <sheet xmlns:r="http://schemas.openxmlformats.org/officeDocument/2006/relationships" name="收支记账" sheetId="5" state="visible" r:id="rId5"/>
    <sheet xmlns:r="http://schemas.openxmlformats.org/officeDocument/2006/relationships" name="收支流水" sheetId="6" state="visible" r:id="rId6"/>
    <sheet xmlns:r="http://schemas.openxmlformats.org/officeDocument/2006/relationships" name="月度净值跟踪" sheetId="7" state="visible" r:id="rId7"/>
    <sheet xmlns:r="http://schemas.openxmlformats.org/officeDocument/2006/relationships" name="FIRE测算" sheetId="8" state="visible" r:id="rId8"/>
    <sheet xmlns:r="http://schemas.openxmlformats.org/officeDocument/2006/relationships" name="使用说明" sheetId="9" state="visible" r:id="rId9"/>
  </sheets>
  <definedNames>
    <definedName name="FIRE目标">FIRE测算!$B$21</definedName>
    <definedName name="FIRE年支出">FIRE测算!$B$14</definedName>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0.0&quot; 年&quot;"/>
    <numFmt numFmtId="168" formatCode="yyyy\-mm"/>
    <numFmt numFmtId="169" formatCode="0.0&quot; 倍&quot;"/>
    <numFmt numFmtId="170" formatCode="yyyy\-mm\-dd"/>
    <numFmt numFmtId="171" formatCode="#,##0.00;\(#,##0.00\);&quot;-&quot;"/>
    <numFmt numFmtId="172" formatCode="#,##0.####"/>
    <numFmt numFmtId="173" formatCode="0.0000"/>
    <numFmt numFmtId="174" formatCode="0.0&quot; 岁&quot;"/>
  </numFmts>
  <fonts count="34">
    <font>
      <name val="宋体"/>
      <charset val="134"/>
      <color theme="1"/>
      <sz val="11"/>
      <scheme val="minor"/>
    </font>
    <font>
      <name val="Microsoft YaHei"/>
      <charset val="134"/>
      <b val="1"/>
      <color rgb="FFFFFFFF"/>
      <sz val="14"/>
    </font>
    <font>
      <name val="Microsoft YaHei"/>
      <charset val="134"/>
      <color rgb="FF595959"/>
      <sz val="9"/>
    </font>
    <font>
      <name val="Microsoft YaHei"/>
      <charset val="134"/>
      <b val="1"/>
      <color rgb="FF1F4E79"/>
      <sz val="11"/>
    </font>
    <font>
      <name val="Microsoft YaHei"/>
      <charset val="134"/>
      <color rgb="FF000000"/>
      <sz val="10"/>
    </font>
    <font>
      <name val="Microsoft YaHei"/>
      <charset val="134"/>
      <b val="1"/>
      <color rgb="FF000000"/>
      <sz val="10"/>
    </font>
    <font>
      <name val="Microsoft YaHei"/>
      <charset val="134"/>
      <color rgb="FF404040"/>
      <sz val="10"/>
    </font>
    <font>
      <name val="Microsoft YaHei"/>
      <charset val="134"/>
      <b val="1"/>
      <color rgb="FFFFFFFF"/>
      <sz val="10"/>
    </font>
    <font>
      <name val="Microsoft YaHei"/>
      <charset val="134"/>
      <color rgb="FF0000FF"/>
      <sz val="10"/>
    </font>
    <font>
      <name val="Microsoft YaHei"/>
      <charset val="134"/>
      <color rgb="FF008000"/>
      <sz val="10"/>
    </font>
    <font>
      <name val="Microsoft YaHei"/>
      <charset val="134"/>
      <b val="1"/>
      <color rgb="FFC00000"/>
      <sz val="10"/>
    </font>
    <font>
      <name val="Microsoft YaHei"/>
      <charset val="134"/>
      <b val="1"/>
      <color rgb="FF008000"/>
      <sz val="10"/>
    </font>
    <font>
      <name val="Microsoft YaHei"/>
      <charset val="134"/>
      <color rgb="FFC00000"/>
      <sz val="9"/>
    </font>
    <font>
      <name val="Microsoft YaHei"/>
      <charset val="134"/>
      <color rgb="FFC00000"/>
      <sz val="10"/>
    </font>
    <font>
      <name val="Microsoft YaHei"/>
      <charset val="134"/>
      <b val="1"/>
      <color rgb="FF595959"/>
      <sz val="9"/>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1">
    <fill>
      <patternFill/>
    </fill>
    <fill>
      <patternFill patternType="gray125"/>
    </fill>
    <fill>
      <patternFill patternType="solid">
        <fgColor rgb="FF1F4E79"/>
        <bgColor rgb="FF1F4E79"/>
      </patternFill>
    </fill>
    <fill>
      <patternFill patternType="solid">
        <fgColor rgb="FFDDEBF7"/>
        <bgColor rgb="FFDDEBF7"/>
      </patternFill>
    </fill>
    <fill>
      <patternFill patternType="solid">
        <fgColor rgb="FFF2F2F2"/>
        <bgColor rgb="FFF2F2F2"/>
      </patternFill>
    </fill>
    <fill>
      <patternFill patternType="solid">
        <fgColor rgb="FFFFFF00"/>
        <bgColor rgb="FFFFFF00"/>
      </patternFill>
    </fill>
    <fill>
      <patternFill patternType="solid">
        <fgColor rgb="FFFFF2CC"/>
        <bgColor rgb="FFFFF2CC"/>
      </patternFill>
    </fill>
    <fill>
      <patternFill patternType="solid">
        <fgColor rgb="FFFCE4D6"/>
        <bgColor rgb="FFFCE4D6"/>
      </patternFill>
    </fill>
    <fill>
      <patternFill patternType="solid">
        <fgColor rgb="FFFFC7CE"/>
        <bgColor rgb="FFFFC7CE"/>
      </patternFill>
    </fill>
    <fill>
      <patternFill patternType="solid">
        <fgColor rgb="FFD9E1F2"/>
        <bgColor rgb="FFD9E1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4C6E7"/>
      </top>
      <bottom/>
      <diagonal/>
    </border>
    <border>
      <left/>
      <right style="thin">
        <color rgb="FFB4C6E7"/>
      </right>
      <top style="thin">
        <color rgb="FFB4C6E7"/>
      </top>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5" fillId="0" borderId="0" applyAlignment="1">
      <alignment vertical="center"/>
    </xf>
    <xf numFmtId="0" fontId="16" fillId="0" borderId="0" applyAlignment="1">
      <alignment vertical="center"/>
    </xf>
    <xf numFmtId="0" fontId="0" fillId="10" borderId="4"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5" applyAlignment="1">
      <alignment vertical="center"/>
    </xf>
    <xf numFmtId="0" fontId="21" fillId="0" borderId="5" applyAlignment="1">
      <alignment vertical="center"/>
    </xf>
    <xf numFmtId="0" fontId="22" fillId="0" borderId="6" applyAlignment="1">
      <alignment vertical="center"/>
    </xf>
    <xf numFmtId="0" fontId="22" fillId="0" borderId="0" applyAlignment="1">
      <alignment vertical="center"/>
    </xf>
    <xf numFmtId="0" fontId="23" fillId="11" borderId="7" applyAlignment="1">
      <alignment vertical="center"/>
    </xf>
    <xf numFmtId="0" fontId="24" fillId="12" borderId="8" applyAlignment="1">
      <alignment vertical="center"/>
    </xf>
    <xf numFmtId="0" fontId="25" fillId="12" borderId="7" applyAlignment="1">
      <alignment vertical="center"/>
    </xf>
    <xf numFmtId="0" fontId="26" fillId="13" borderId="9" applyAlignment="1">
      <alignment vertical="center"/>
    </xf>
    <xf numFmtId="0" fontId="27" fillId="0" borderId="10" applyAlignment="1">
      <alignment vertical="center"/>
    </xf>
    <xf numFmtId="0" fontId="28" fillId="0" borderId="11" applyAlignment="1">
      <alignment vertical="center"/>
    </xf>
    <xf numFmtId="0" fontId="29" fillId="14" borderId="0" applyAlignment="1">
      <alignment vertical="center"/>
    </xf>
    <xf numFmtId="0" fontId="30" fillId="15" borderId="0" applyAlignment="1">
      <alignment vertical="center"/>
    </xf>
    <xf numFmtId="0" fontId="31" fillId="16" borderId="0" applyAlignment="1">
      <alignment vertical="center"/>
    </xf>
    <xf numFmtId="0" fontId="32" fillId="17" borderId="0" applyAlignment="1">
      <alignment vertical="center"/>
    </xf>
    <xf numFmtId="0" fontId="33" fillId="18" borderId="0" applyAlignment="1">
      <alignment vertical="center"/>
    </xf>
    <xf numFmtId="0" fontId="33" fillId="19" borderId="0" applyAlignment="1">
      <alignment vertical="center"/>
    </xf>
    <xf numFmtId="0" fontId="32" fillId="20" borderId="0" applyAlignment="1">
      <alignment vertical="center"/>
    </xf>
    <xf numFmtId="0" fontId="32" fillId="21" borderId="0" applyAlignment="1">
      <alignment vertical="center"/>
    </xf>
    <xf numFmtId="0" fontId="33" fillId="22" borderId="0" applyAlignment="1">
      <alignment vertical="center"/>
    </xf>
    <xf numFmtId="0" fontId="33" fillId="23" borderId="0" applyAlignment="1">
      <alignment vertical="center"/>
    </xf>
    <xf numFmtId="0" fontId="32" fillId="24" borderId="0" applyAlignment="1">
      <alignment vertical="center"/>
    </xf>
    <xf numFmtId="0" fontId="32" fillId="25" borderId="0" applyAlignment="1">
      <alignment vertical="center"/>
    </xf>
    <xf numFmtId="0" fontId="33" fillId="26" borderId="0" applyAlignment="1">
      <alignment vertical="center"/>
    </xf>
    <xf numFmtId="0" fontId="33" fillId="27" borderId="0" applyAlignment="1">
      <alignment vertical="center"/>
    </xf>
    <xf numFmtId="0" fontId="32" fillId="28" borderId="0" applyAlignment="1">
      <alignment vertical="center"/>
    </xf>
    <xf numFmtId="0" fontId="32" fillId="29" borderId="0" applyAlignment="1">
      <alignment vertical="center"/>
    </xf>
    <xf numFmtId="0" fontId="33" fillId="30" borderId="0" applyAlignment="1">
      <alignment vertical="center"/>
    </xf>
    <xf numFmtId="0" fontId="33" fillId="31" borderId="0" applyAlignment="1">
      <alignment vertical="center"/>
    </xf>
    <xf numFmtId="0" fontId="32" fillId="32" borderId="0" applyAlignment="1">
      <alignment vertical="center"/>
    </xf>
    <xf numFmtId="0" fontId="32" fillId="33" borderId="0" applyAlignment="1">
      <alignment vertical="center"/>
    </xf>
    <xf numFmtId="0" fontId="33" fillId="34" borderId="0" applyAlignment="1">
      <alignment vertical="center"/>
    </xf>
    <xf numFmtId="0" fontId="33" fillId="35" borderId="0" applyAlignment="1">
      <alignment vertical="center"/>
    </xf>
    <xf numFmtId="0" fontId="32" fillId="36" borderId="0" applyAlignment="1">
      <alignment vertical="center"/>
    </xf>
    <xf numFmtId="0" fontId="32" fillId="37" borderId="0" applyAlignment="1">
      <alignment vertical="center"/>
    </xf>
    <xf numFmtId="0" fontId="33" fillId="38" borderId="0" applyAlignment="1">
      <alignment vertical="center"/>
    </xf>
    <xf numFmtId="0" fontId="33" fillId="39" borderId="0" applyAlignment="1">
      <alignment vertical="center"/>
    </xf>
    <xf numFmtId="0" fontId="32" fillId="40" borderId="0" applyAlignment="1">
      <alignment vertical="center"/>
    </xf>
  </cellStyleXfs>
  <cellXfs count="13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center" indent="1"/>
    </xf>
    <xf numFmtId="0" fontId="4" fillId="0" borderId="0" applyAlignment="1" pivotButton="0" quotePrefix="0" xfId="0">
      <alignment horizontal="left" vertical="center"/>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2" borderId="1" applyAlignment="1" pivotButton="0" quotePrefix="0" xfId="0">
      <alignment horizontal="center" vertical="center"/>
    </xf>
    <xf numFmtId="0" fontId="5" fillId="4" borderId="1" applyAlignment="1" pivotButton="0" quotePrefix="0" xfId="0">
      <alignment horizontal="left" vertical="center"/>
    </xf>
    <xf numFmtId="0" fontId="8" fillId="5" borderId="1" applyAlignment="1" pivotButton="0" quotePrefix="0" xfId="0">
      <alignment horizontal="right" vertical="center"/>
    </xf>
    <xf numFmtId="0" fontId="4" fillId="4" borderId="1" applyAlignment="1" pivotButton="0" quotePrefix="0" xfId="0">
      <alignment horizontal="center" vertical="center"/>
    </xf>
    <xf numFmtId="0" fontId="2" fillId="4" borderId="1" applyAlignment="1" pivotButton="0" quotePrefix="0" xfId="0">
      <alignment horizontal="left" vertical="center" wrapText="1"/>
    </xf>
    <xf numFmtId="164" fontId="8" fillId="5" borderId="1" applyAlignment="1" pivotButton="0" quotePrefix="0" xfId="0">
      <alignment horizontal="right" vertical="center"/>
    </xf>
    <xf numFmtId="165" fontId="8" fillId="5" borderId="1" applyAlignment="1" pivotButton="0" quotePrefix="0" xfId="0">
      <alignment horizontal="right" vertical="center"/>
    </xf>
    <xf numFmtId="0" fontId="8" fillId="5" borderId="1" applyAlignment="1" pivotButton="0" quotePrefix="0" xfId="0">
      <alignment horizontal="left" vertical="center"/>
    </xf>
    <xf numFmtId="0" fontId="4" fillId="4" borderId="1" applyAlignment="1" pivotButton="0" quotePrefix="0" xfId="0">
      <alignment horizontal="left" vertical="center"/>
    </xf>
    <xf numFmtId="165" fontId="9" fillId="0" borderId="1" applyAlignment="1" pivotButton="0" quotePrefix="0" xfId="0">
      <alignment horizontal="right" vertical="center"/>
    </xf>
    <xf numFmtId="165" fontId="4" fillId="4" borderId="1" applyAlignment="1" pivotButton="0" quotePrefix="0" xfId="0">
      <alignment horizontal="right" vertical="center"/>
    </xf>
    <xf numFmtId="165" fontId="9" fillId="4" borderId="1" applyAlignment="1" pivotButton="0" quotePrefix="0" xfId="0">
      <alignment horizontal="right" vertical="center"/>
    </xf>
    <xf numFmtId="166" fontId="4" fillId="4" borderId="1" applyAlignment="1" pivotButton="0" quotePrefix="0" xfId="0">
      <alignment horizontal="right" vertical="center"/>
    </xf>
    <xf numFmtId="49" fontId="10" fillId="5" borderId="1" applyAlignment="1" pivotButton="0" quotePrefix="0" xfId="0">
      <alignment horizontal="center" vertical="center"/>
    </xf>
    <xf numFmtId="164" fontId="4" fillId="4" borderId="1" applyAlignment="1" pivotButton="0" quotePrefix="0" xfId="0">
      <alignment horizontal="right" vertical="center"/>
    </xf>
    <xf numFmtId="167" fontId="4" fillId="4" borderId="1" applyAlignment="1" pivotButton="0" quotePrefix="0" xfId="0">
      <alignment horizontal="right" vertical="center"/>
    </xf>
    <xf numFmtId="168" fontId="4" fillId="4" borderId="1" applyAlignment="1" pivotButton="0" quotePrefix="0" xfId="0">
      <alignment horizontal="right" vertical="center"/>
    </xf>
    <xf numFmtId="1" fontId="4" fillId="4" borderId="1" applyAlignment="1" pivotButton="0" quotePrefix="0" xfId="0">
      <alignment horizontal="right" vertical="center"/>
    </xf>
    <xf numFmtId="49" fontId="4" fillId="4" borderId="1" applyAlignment="1" pivotButton="0" quotePrefix="0" xfId="0">
      <alignment horizontal="right" vertical="center"/>
    </xf>
    <xf numFmtId="0" fontId="5" fillId="0" borderId="1" applyAlignment="1" pivotButton="0" quotePrefix="0" xfId="0">
      <alignment horizontal="left" vertical="center"/>
    </xf>
    <xf numFmtId="165" fontId="4" fillId="0" borderId="1" applyAlignment="1" pivotButton="0" quotePrefix="0" xfId="0">
      <alignment horizontal="right" vertical="center"/>
    </xf>
    <xf numFmtId="169" fontId="4" fillId="0" borderId="1" applyAlignment="1" pivotButton="0" quotePrefix="0" xfId="0">
      <alignment horizontal="right" vertical="center"/>
    </xf>
    <xf numFmtId="166" fontId="4" fillId="0" borderId="1" applyAlignment="1" pivotButton="0" quotePrefix="0" xfId="0">
      <alignment horizontal="right" vertical="center"/>
    </xf>
    <xf numFmtId="166" fontId="10" fillId="0" borderId="1" applyAlignment="1" pivotButton="0" quotePrefix="0" xfId="0">
      <alignment horizontal="right" vertical="center"/>
    </xf>
    <xf numFmtId="0" fontId="11" fillId="0" borderId="1" applyAlignment="1" pivotButton="0" quotePrefix="0" xfId="0">
      <alignment horizontal="center" vertical="center"/>
    </xf>
    <xf numFmtId="1" fontId="4" fillId="0" borderId="1" applyAlignment="1" pivotButton="0" quotePrefix="0" xfId="0">
      <alignment horizontal="center" vertical="center"/>
    </xf>
    <xf numFmtId="0" fontId="4" fillId="0" borderId="1" applyAlignment="1" pivotButton="0" quotePrefix="0" xfId="0">
      <alignment horizontal="center" vertical="center"/>
    </xf>
    <xf numFmtId="165" fontId="4" fillId="6" borderId="1" applyAlignment="1" pivotButton="0" quotePrefix="0" xfId="0">
      <alignment horizontal="right" vertical="center"/>
    </xf>
    <xf numFmtId="168" fontId="4" fillId="0" borderId="1" applyAlignment="1" pivotButton="0" quotePrefix="0" xfId="0">
      <alignment horizontal="center" vertical="center"/>
    </xf>
    <xf numFmtId="165" fontId="4" fillId="0" borderId="1" applyAlignment="1" pivotButton="0" quotePrefix="0" xfId="0">
      <alignment horizontal="left" vertical="center"/>
    </xf>
    <xf numFmtId="166" fontId="4" fillId="0" borderId="1" applyAlignment="1" pivotButton="0" quotePrefix="0" xfId="0">
      <alignment horizontal="left" vertical="center"/>
    </xf>
    <xf numFmtId="0" fontId="8" fillId="0" borderId="1" applyAlignment="1" pivotButton="0" quotePrefix="0" xfId="0">
      <alignment horizontal="left" vertical="center" wrapText="1"/>
    </xf>
    <xf numFmtId="165" fontId="8" fillId="0" borderId="1" applyAlignment="1" pivotButton="0" quotePrefix="0" xfId="0">
      <alignment horizontal="left" vertical="center"/>
    </xf>
    <xf numFmtId="0" fontId="2" fillId="0" borderId="1" applyAlignment="1" pivotButton="0" quotePrefix="0" xfId="0">
      <alignment horizontal="left" vertical="center" wrapText="1"/>
    </xf>
    <xf numFmtId="0" fontId="0" fillId="0" borderId="2" pivotButton="0" quotePrefix="0" xfId="0"/>
    <xf numFmtId="0" fontId="0" fillId="0" borderId="3" pivotButton="0" quotePrefix="0" xfId="0"/>
    <xf numFmtId="170" fontId="8" fillId="0" borderId="1" applyAlignment="1" pivotButton="0" quotePrefix="0" xfId="0">
      <alignment horizontal="center" vertical="center"/>
    </xf>
    <xf numFmtId="0" fontId="8" fillId="0" borderId="1" applyAlignment="1" pivotButton="0" quotePrefix="0" xfId="0">
      <alignment horizontal="center" vertical="center"/>
    </xf>
    <xf numFmtId="0" fontId="8" fillId="0" borderId="1" applyAlignment="1" pivotButton="0" quotePrefix="0" xfId="0">
      <alignment horizontal="left" vertical="center"/>
    </xf>
    <xf numFmtId="1" fontId="8" fillId="5" borderId="1" applyAlignment="1" pivotButton="0" quotePrefix="0" xfId="0">
      <alignment horizontal="right" vertical="center"/>
    </xf>
    <xf numFmtId="171" fontId="9" fillId="4" borderId="1" applyAlignment="1" pivotButton="0" quotePrefix="0" xfId="0">
      <alignment horizontal="right" vertical="center"/>
    </xf>
    <xf numFmtId="166" fontId="9" fillId="4" borderId="1" applyAlignment="1" pivotButton="0" quotePrefix="0" xfId="0">
      <alignment horizontal="right" vertical="center"/>
    </xf>
    <xf numFmtId="1" fontId="9" fillId="4" borderId="1" applyAlignment="1" pivotButton="0" quotePrefix="0" xfId="0">
      <alignment horizontal="right" vertical="center"/>
    </xf>
    <xf numFmtId="171" fontId="9" fillId="0" borderId="1" applyAlignment="1" pivotButton="0" quotePrefix="0" xfId="0">
      <alignment horizontal="right" vertical="center"/>
    </xf>
    <xf numFmtId="165" fontId="10" fillId="0" borderId="1" applyAlignment="1" pivotButton="0" quotePrefix="0" xfId="0">
      <alignment horizontal="right" vertical="center"/>
    </xf>
    <xf numFmtId="171" fontId="4" fillId="0" borderId="1" applyAlignment="1" pivotButton="0" quotePrefix="0" xfId="0">
      <alignment horizontal="right" vertical="center"/>
    </xf>
    <xf numFmtId="0" fontId="5" fillId="0" borderId="1" applyAlignment="1" pivotButton="0" quotePrefix="0" xfId="0">
      <alignment horizontal="center" vertical="center"/>
    </xf>
    <xf numFmtId="0" fontId="12" fillId="0" borderId="1" applyAlignment="1" pivotButton="0" quotePrefix="0" xfId="0">
      <alignment horizontal="left" vertical="center" wrapText="1"/>
    </xf>
    <xf numFmtId="165" fontId="10" fillId="4" borderId="1" applyAlignment="1" pivotButton="0" quotePrefix="0" xfId="0">
      <alignment horizontal="right" vertical="center"/>
    </xf>
    <xf numFmtId="166" fontId="10" fillId="4" borderId="1" applyAlignment="1" pivotButton="0" quotePrefix="0" xfId="0">
      <alignment horizontal="right" vertical="center"/>
    </xf>
    <xf numFmtId="171" fontId="10" fillId="4" borderId="1" applyAlignment="1" pivotButton="0" quotePrefix="0" xfId="0">
      <alignment horizontal="right" vertical="center"/>
    </xf>
    <xf numFmtId="0" fontId="13" fillId="0" borderId="0" applyAlignment="1" pivotButton="0" quotePrefix="0" xfId="0">
      <alignment horizontal="left" vertical="center" wrapText="1"/>
    </xf>
    <xf numFmtId="0" fontId="4" fillId="0" borderId="1" applyAlignment="1" pivotButton="0" quotePrefix="0" xfId="0">
      <alignment horizontal="left" vertical="center"/>
    </xf>
    <xf numFmtId="0" fontId="4" fillId="0" borderId="1" applyAlignment="1" pivotButton="0" quotePrefix="0" xfId="0">
      <alignment horizontal="left" vertical="center" wrapText="1"/>
    </xf>
    <xf numFmtId="0" fontId="4" fillId="7" borderId="1" applyAlignment="1" pivotButton="0" quotePrefix="0" xfId="0">
      <alignment horizontal="left" vertical="center"/>
    </xf>
    <xf numFmtId="165" fontId="5" fillId="7" borderId="1" applyAlignment="1" pivotButton="0" quotePrefix="0" xfId="0">
      <alignment horizontal="right" vertical="center"/>
    </xf>
    <xf numFmtId="0" fontId="5" fillId="7" borderId="1" applyAlignment="1" pivotButton="0" quotePrefix="0" xfId="0">
      <alignment horizontal="left" vertical="center" wrapText="1"/>
    </xf>
    <xf numFmtId="171" fontId="8" fillId="0" borderId="1" applyAlignment="1" pivotButton="0" quotePrefix="0" xfId="0">
      <alignment horizontal="right" vertical="center"/>
    </xf>
    <xf numFmtId="165" fontId="8" fillId="0" borderId="1" applyAlignment="1" pivotButton="0" quotePrefix="0" xfId="0">
      <alignment horizontal="right" vertical="center"/>
    </xf>
    <xf numFmtId="0" fontId="5" fillId="8" borderId="1" applyAlignment="1" pivotButton="0" quotePrefix="0" xfId="0">
      <alignment horizontal="center" vertical="center"/>
    </xf>
    <xf numFmtId="0" fontId="10" fillId="8" borderId="1" applyAlignment="1" pivotButton="0" quotePrefix="0" xfId="0">
      <alignment horizontal="left" vertical="center"/>
    </xf>
    <xf numFmtId="0" fontId="10" fillId="8" borderId="1" applyAlignment="1" pivotButton="0" quotePrefix="0" xfId="0">
      <alignment horizontal="left" vertical="center" wrapText="1"/>
    </xf>
    <xf numFmtId="164" fontId="10" fillId="0" borderId="1" applyAlignment="1" pivotButton="0" quotePrefix="0" xfId="0">
      <alignment horizontal="right" vertical="center"/>
    </xf>
    <xf numFmtId="0" fontId="5" fillId="9" borderId="1" applyAlignment="1" pivotButton="0" quotePrefix="0" xfId="0">
      <alignment horizontal="left" vertical="center"/>
    </xf>
    <xf numFmtId="172" fontId="8" fillId="0" borderId="1" applyAlignment="1" pivotButton="0" quotePrefix="0" xfId="0">
      <alignment horizontal="right" vertical="center"/>
    </xf>
    <xf numFmtId="173" fontId="8" fillId="0" borderId="1" applyAlignment="1" pivotButton="0" quotePrefix="0" xfId="0">
      <alignment horizontal="right" vertical="center"/>
    </xf>
    <xf numFmtId="165" fontId="5" fillId="4" borderId="1" applyAlignment="1" pivotButton="0" quotePrefix="0" xfId="0">
      <alignment horizontal="right" vertical="center"/>
    </xf>
    <xf numFmtId="166" fontId="5" fillId="4" borderId="1" applyAlignment="1" pivotButton="0" quotePrefix="0" xfId="0">
      <alignment horizontal="right" vertical="center"/>
    </xf>
    <xf numFmtId="166" fontId="5" fillId="4" borderId="1" applyAlignment="1" pivotButton="0" quotePrefix="0" xfId="0">
      <alignment horizontal="left" vertical="center"/>
    </xf>
    <xf numFmtId="0" fontId="5" fillId="6" borderId="1" applyAlignment="1" pivotButton="0" quotePrefix="0" xfId="0">
      <alignment horizontal="left" vertical="center"/>
    </xf>
    <xf numFmtId="0" fontId="4" fillId="6" borderId="1" applyAlignment="1" pivotButton="0" quotePrefix="0" xfId="0">
      <alignment horizontal="left" vertical="center"/>
    </xf>
    <xf numFmtId="0" fontId="5" fillId="7" borderId="1" applyAlignment="1" pivotButton="0" quotePrefix="0" xfId="0">
      <alignment horizontal="left" vertical="center"/>
    </xf>
    <xf numFmtId="166" fontId="5" fillId="7" borderId="1" applyAlignment="1" pivotButton="0" quotePrefix="0" xfId="0">
      <alignment horizontal="right" vertical="center"/>
    </xf>
    <xf numFmtId="0" fontId="14" fillId="7" borderId="1" applyAlignment="1" pivotButton="0" quotePrefix="0" xfId="0">
      <alignment horizontal="left" vertical="center" wrapText="1"/>
    </xf>
    <xf numFmtId="0" fontId="10" fillId="7" borderId="1" applyAlignment="1" pivotButton="0" quotePrefix="0" xfId="0">
      <alignment horizontal="left" vertical="center"/>
    </xf>
    <xf numFmtId="165" fontId="10" fillId="7" borderId="1" applyAlignment="1" pivotButton="0" quotePrefix="0" xfId="0">
      <alignment horizontal="right" vertical="center"/>
    </xf>
    <xf numFmtId="164" fontId="9" fillId="4" borderId="1" applyAlignment="1" pivotButton="0" quotePrefix="0" xfId="0">
      <alignment horizontal="right" vertical="center"/>
    </xf>
    <xf numFmtId="167" fontId="9" fillId="4" borderId="1" applyAlignment="1" pivotButton="0" quotePrefix="0" xfId="0">
      <alignment horizontal="right" vertical="center"/>
    </xf>
    <xf numFmtId="168" fontId="9" fillId="4" borderId="1" applyAlignment="1" pivotButton="0" quotePrefix="0" xfId="0">
      <alignment horizontal="right" vertical="center"/>
    </xf>
    <xf numFmtId="174" fontId="9" fillId="4" borderId="1" applyAlignment="1" pivotButton="0" quotePrefix="0" xfId="0">
      <alignment horizontal="right" vertical="center"/>
    </xf>
    <xf numFmtId="0" fontId="5" fillId="5" borderId="1" applyAlignment="1" pivotButton="0" quotePrefix="0" xfId="0">
      <alignment horizontal="left" vertical="center"/>
    </xf>
    <xf numFmtId="0" fontId="10" fillId="5" borderId="1" applyAlignment="1" pivotButton="0" quotePrefix="0" xfId="0">
      <alignment horizontal="center" vertical="center"/>
    </xf>
    <xf numFmtId="0" fontId="2" fillId="0" borderId="1" applyAlignment="1" pivotButton="0" quotePrefix="0" xfId="0">
      <alignment horizontal="left" vertical="center"/>
    </xf>
    <xf numFmtId="165" fontId="9" fillId="4" borderId="1" applyAlignment="1" pivotButton="0" quotePrefix="0" xfId="0">
      <alignment horizontal="right" vertical="center"/>
    </xf>
    <xf numFmtId="166" fontId="4" fillId="4" borderId="1" applyAlignment="1" pivotButton="0" quotePrefix="0" xfId="0">
      <alignment horizontal="right" vertical="center"/>
    </xf>
    <xf numFmtId="165" fontId="5" fillId="7" borderId="1" applyAlignment="1" pivotButton="0" quotePrefix="0" xfId="0">
      <alignment horizontal="right" vertical="center"/>
    </xf>
    <xf numFmtId="166" fontId="5" fillId="7" borderId="1" applyAlignment="1" pivotButton="0" quotePrefix="0" xfId="0">
      <alignment horizontal="right" vertical="center"/>
    </xf>
    <xf numFmtId="165" fontId="10" fillId="7" borderId="1" applyAlignment="1" pivotButton="0" quotePrefix="0" xfId="0">
      <alignment horizontal="right" vertical="center"/>
    </xf>
    <xf numFmtId="164" fontId="9" fillId="4" borderId="1" applyAlignment="1" pivotButton="0" quotePrefix="0" xfId="0">
      <alignment horizontal="right" vertical="center"/>
    </xf>
    <xf numFmtId="166" fontId="9" fillId="4" borderId="1" applyAlignment="1" pivotButton="0" quotePrefix="0" xfId="0">
      <alignment horizontal="right" vertical="center"/>
    </xf>
    <xf numFmtId="167" fontId="9" fillId="4" borderId="1" applyAlignment="1" pivotButton="0" quotePrefix="0" xfId="0">
      <alignment horizontal="right" vertical="center"/>
    </xf>
    <xf numFmtId="168" fontId="9" fillId="4" borderId="1" applyAlignment="1" pivotButton="0" quotePrefix="0" xfId="0">
      <alignment horizontal="right" vertical="center"/>
    </xf>
    <xf numFmtId="174" fontId="9" fillId="4" borderId="1" applyAlignment="1" pivotButton="0" quotePrefix="0" xfId="0">
      <alignment horizontal="right" vertical="center"/>
    </xf>
    <xf numFmtId="172" fontId="8" fillId="0" borderId="1" applyAlignment="1" pivotButton="0" quotePrefix="0" xfId="0">
      <alignment horizontal="right" vertical="center"/>
    </xf>
    <xf numFmtId="171" fontId="8" fillId="0" borderId="1" applyAlignment="1" pivotButton="0" quotePrefix="0" xfId="0">
      <alignment horizontal="right" vertical="center"/>
    </xf>
    <xf numFmtId="173" fontId="8" fillId="0" borderId="1" applyAlignment="1" pivotButton="0" quotePrefix="0" xfId="0">
      <alignment horizontal="right" vertical="center"/>
    </xf>
    <xf numFmtId="165" fontId="4" fillId="0" borderId="1" applyAlignment="1" pivotButton="0" quotePrefix="0" xfId="0">
      <alignment horizontal="right" vertical="center"/>
    </xf>
    <xf numFmtId="165" fontId="8" fillId="0" borderId="1" applyAlignment="1" pivotButton="0" quotePrefix="0" xfId="0">
      <alignment horizontal="right" vertical="center"/>
    </xf>
    <xf numFmtId="166" fontId="4" fillId="0" borderId="1" applyAlignment="1" pivotButton="0" quotePrefix="0" xfId="0">
      <alignment horizontal="right" vertical="center"/>
    </xf>
    <xf numFmtId="166" fontId="4" fillId="0" borderId="1" applyAlignment="1" pivotButton="0" quotePrefix="0" xfId="0">
      <alignment horizontal="left" vertical="center"/>
    </xf>
    <xf numFmtId="165" fontId="5" fillId="4" borderId="1" applyAlignment="1" pivotButton="0" quotePrefix="0" xfId="0">
      <alignment horizontal="right" vertical="center"/>
    </xf>
    <xf numFmtId="166" fontId="5" fillId="4" borderId="1" applyAlignment="1" pivotButton="0" quotePrefix="0" xfId="0">
      <alignment horizontal="right" vertical="center"/>
    </xf>
    <xf numFmtId="166" fontId="5" fillId="4" borderId="1" applyAlignment="1" pivotButton="0" quotePrefix="0" xfId="0">
      <alignment horizontal="left" vertical="center"/>
    </xf>
    <xf numFmtId="165" fontId="8" fillId="0" borderId="1" applyAlignment="1" pivotButton="0" quotePrefix="0" xfId="0">
      <alignment horizontal="left" vertical="center"/>
    </xf>
    <xf numFmtId="165" fontId="4" fillId="0" borderId="1" applyAlignment="1" pivotButton="0" quotePrefix="0" xfId="0">
      <alignment horizontal="left" vertical="center"/>
    </xf>
    <xf numFmtId="165" fontId="4" fillId="4" borderId="1" applyAlignment="1" pivotButton="0" quotePrefix="0" xfId="0">
      <alignment horizontal="right" vertical="center"/>
    </xf>
    <xf numFmtId="171" fontId="4" fillId="0" borderId="1" applyAlignment="1" pivotButton="0" quotePrefix="0" xfId="0">
      <alignment horizontal="right" vertical="center"/>
    </xf>
    <xf numFmtId="165" fontId="10" fillId="0" borderId="1" applyAlignment="1" pivotButton="0" quotePrefix="0" xfId="0">
      <alignment horizontal="right" vertical="center"/>
    </xf>
    <xf numFmtId="164" fontId="10" fillId="0" borderId="1" applyAlignment="1" pivotButton="0" quotePrefix="0" xfId="0">
      <alignment horizontal="right" vertical="center"/>
    </xf>
    <xf numFmtId="165" fontId="8" fillId="5" borderId="1" applyAlignment="1" pivotButton="0" quotePrefix="0" xfId="0">
      <alignment horizontal="right" vertical="center"/>
    </xf>
    <xf numFmtId="171" fontId="9" fillId="4" borderId="1" applyAlignment="1" pivotButton="0" quotePrefix="0" xfId="0">
      <alignment horizontal="right" vertical="center"/>
    </xf>
    <xf numFmtId="171" fontId="9" fillId="0" borderId="1" applyAlignment="1" pivotButton="0" quotePrefix="0" xfId="0">
      <alignment horizontal="right" vertical="center"/>
    </xf>
    <xf numFmtId="165" fontId="10" fillId="4" borderId="1" applyAlignment="1" pivotButton="0" quotePrefix="0" xfId="0">
      <alignment horizontal="right" vertical="center"/>
    </xf>
    <xf numFmtId="166" fontId="10" fillId="4" borderId="1" applyAlignment="1" pivotButton="0" quotePrefix="0" xfId="0">
      <alignment horizontal="right" vertical="center"/>
    </xf>
    <xf numFmtId="171" fontId="10" fillId="4" borderId="1" applyAlignment="1" pivotButton="0" quotePrefix="0" xfId="0">
      <alignment horizontal="right" vertical="center"/>
    </xf>
    <xf numFmtId="168" fontId="4" fillId="0" borderId="1" applyAlignment="1" pivotButton="0" quotePrefix="0" xfId="0">
      <alignment horizontal="center" vertical="center"/>
    </xf>
    <xf numFmtId="165" fontId="9" fillId="0" borderId="1" applyAlignment="1" pivotButton="0" quotePrefix="0" xfId="0">
      <alignment horizontal="right" vertical="center"/>
    </xf>
    <xf numFmtId="170" fontId="8" fillId="0" borderId="1" applyAlignment="1" pivotButton="0" quotePrefix="0" xfId="0">
      <alignment horizontal="center" vertical="center"/>
    </xf>
    <xf numFmtId="164" fontId="8" fillId="5" borderId="1" applyAlignment="1" pivotButton="0" quotePrefix="0" xfId="0">
      <alignment horizontal="right" vertical="center"/>
    </xf>
    <xf numFmtId="164" fontId="4" fillId="4" borderId="1" applyAlignment="1" pivotButton="0" quotePrefix="0" xfId="0">
      <alignment horizontal="right" vertical="center"/>
    </xf>
    <xf numFmtId="167" fontId="4" fillId="4" borderId="1" applyAlignment="1" pivotButton="0" quotePrefix="0" xfId="0">
      <alignment horizontal="right" vertical="center"/>
    </xf>
    <xf numFmtId="168" fontId="4" fillId="4" borderId="1" applyAlignment="1" pivotButton="0" quotePrefix="0" xfId="0">
      <alignment horizontal="right" vertical="center"/>
    </xf>
    <xf numFmtId="169" fontId="4" fillId="0" borderId="1" applyAlignment="1" pivotButton="0" quotePrefix="0" xfId="0">
      <alignment horizontal="right" vertical="center"/>
    </xf>
    <xf numFmtId="166" fontId="10" fillId="0" borderId="1" applyAlignment="1" pivotButton="0" quotePrefix="0" xfId="0">
      <alignment horizontal="right" vertical="center"/>
    </xf>
    <xf numFmtId="165" fontId="4" fillId="6" borderId="1" applyAlignment="1" pivotButton="0" quotePrefix="0" xfId="0">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tx1"/>
                </a:solidFill>
                <a:latin typeface="+mn-lt"/>
                <a:ea typeface="+mn-ea"/>
                <a:cs typeface="+mn-cs"/>
              </a:defRPr>
            </a:pPr>
            <a:r>
              <a:t>资产配置结构</a:t>
            </a:r>
          </a:p>
        </rich>
      </tx>
      <layout/>
      <overlay val="0"/>
    </title>
    <plotArea>
      <layout/>
      <pieChart>
        <varyColors val="1"/>
        <ser>
          <idx val="0"/>
          <order val="0"/>
          <tx>
            <strRef>
              <f>总览看板!$B$5</f>
              <strCache>
                <ptCount val="1"/>
                <pt idx="0">
                  <v>金额(元)</v>
                </pt>
              </strCache>
            </strRef>
          </tx>
          <spPr>
            <a:ln xmlns:a="http://schemas.openxmlformats.org/drawingml/2006/main">
              <a:noFill/>
              <a:prstDash val="solid"/>
            </a:ln>
          </spPr>
          <explosion val="0"/>
          <dPt>
            <idx val="0"/>
            <bubble3D val="0"/>
            <spPr>
              <a:ln xmlns:a="http://schemas.openxmlformats.org/drawingml/2006/main">
                <a:noFill/>
                <a:prstDash val="solid"/>
              </a:ln>
            </spPr>
          </dPt>
          <dPt>
            <idx val="1"/>
            <bubble3D val="0"/>
            <spPr>
              <a:ln xmlns:a="http://schemas.openxmlformats.org/drawingml/2006/main">
                <a:noFill/>
                <a:prstDash val="solid"/>
              </a:ln>
            </spPr>
          </dPt>
          <dPt>
            <idx val="2"/>
            <bubble3D val="0"/>
            <spPr>
              <a:ln xmlns:a="http://schemas.openxmlformats.org/drawingml/2006/main">
                <a:noFill/>
                <a:prstDash val="solid"/>
              </a:ln>
            </spPr>
          </dPt>
          <dPt>
            <idx val="3"/>
            <bubble3D val="0"/>
            <spPr>
              <a:ln xmlns:a="http://schemas.openxmlformats.org/drawingml/2006/main">
                <a:noFill/>
                <a:prstDash val="solid"/>
              </a:ln>
            </spPr>
          </dPt>
          <dPt>
            <idx val="4"/>
            <bubble3D val="0"/>
            <spPr>
              <a:ln xmlns:a="http://schemas.openxmlformats.org/drawingml/2006/main">
                <a:noFill/>
                <a:prstDash val="solid"/>
              </a:ln>
            </spPr>
          </dPt>
          <dLbls>
            <delete val="1"/>
          </dLbls>
          <cat>
            <strRef>
              <f>总览看板!$A$6:$A$10</f>
              <strCache>
                <ptCount val="5"/>
                <pt idx="0">
                  <v>现金及存款</v>
                </pt>
                <pt idx="1">
                  <v>股票及证券</v>
                </pt>
                <pt idx="2">
                  <v>基金及理财</v>
                </pt>
                <pt idx="3">
                  <v>保险（储蓄型）</v>
                </pt>
                <pt idx="4">
                  <v>教育金专项（恒泰尊享）</v>
                </pt>
              </strCache>
            </strRef>
          </cat>
          <val>
            <numRef>
              <f>总览看板!$B$6:$B$10</f>
              <numCache>
                <formatCode>#,##0;\(#,##0\);"-"</formatCode>
                <ptCount val="5"/>
                <pt idx="0">
                  <v>1553000</v>
                </pt>
                <pt idx="1">
                  <v>5319473.8765</v>
                </pt>
                <pt idx="2">
                  <v>2354000</v>
                </pt>
                <pt idx="3">
                  <v>1899138.36</v>
                </pt>
                <pt idx="4">
                  <v>1600567.28</v>
                </pt>
              </numCache>
            </numRef>
          </val>
        </ser>
        <dLbls>
          <showLegendKey val="0"/>
          <showVal val="0"/>
          <showCatName val="0"/>
          <showSerName val="0"/>
          <showPercent val="0"/>
          <showBubbleSize val="0"/>
          <showLeaderLines val="1"/>
        </dLbls>
        <firstSliceAng val="0"/>
      </pieChart>
    </plotArea>
    <legend>
      <legendPos val="r"/>
      <layout/>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tx1"/>
                </a:solidFill>
                <a:latin typeface="+mn-lt"/>
                <a:ea typeface="+mn-ea"/>
                <a:cs typeface="+mn-cs"/>
              </a:defRPr>
            </a:pPr>
            <a:r>
              <a:t>净资产月度走势</a:t>
            </a:r>
          </a:p>
        </rich>
      </tx>
      <layout/>
      <overlay val="0"/>
    </title>
    <plotArea>
      <layout/>
      <lineChart>
        <grouping val="standard"/>
        <varyColors val="0"/>
        <ser>
          <idx val="0"/>
          <order val="0"/>
          <tx>
            <strRef>
              <f>月度净值跟踪!$H$3</f>
              <strCache>
                <ptCount val="1"/>
                <pt idx="0">
                  <v>净资产</v>
                </pt>
              </strCache>
            </strRef>
          </tx>
          <spPr>
            <a:ln xmlns:a="http://schemas.openxmlformats.org/drawingml/2006/main" w="28575" cap="rnd" cmpd="sng" algn="ctr">
              <a:solidFill>
                <a:schemeClr val="accent1">
                  <a:shade val="95000"/>
                  <a:satMod val="105000"/>
                </a:schemeClr>
              </a:solidFill>
              <a:prstDash val="solid"/>
              <a:round/>
            </a:ln>
          </spPr>
          <marker>
            <symbol val="none"/>
            <spPr>
              <a:ln xmlns:a="http://schemas.openxmlformats.org/drawingml/2006/main">
                <a:prstDash val="solid"/>
              </a:ln>
            </spPr>
          </marker>
          <dLbls>
            <delete val="1"/>
          </dLbls>
          <cat>
            <numRef>
              <f>月度净值跟踪!$A$4:$A$27</f>
              <numCache>
                <formatCode>yyyy\-mm</formatCode>
                <ptCount val="24"/>
                <pt idx="0">
                  <v>46266</v>
                </pt>
                <pt idx="1">
                  <v>46296</v>
                </pt>
                <pt idx="2">
                  <v>46327</v>
                </pt>
                <pt idx="3">
                  <v>46357</v>
                </pt>
                <pt idx="4">
                  <v>46388</v>
                </pt>
                <pt idx="5">
                  <v>46419</v>
                </pt>
                <pt idx="6">
                  <v>46447</v>
                </pt>
                <pt idx="7">
                  <v>46478</v>
                </pt>
                <pt idx="8">
                  <v>46508</v>
                </pt>
                <pt idx="9">
                  <v>46539</v>
                </pt>
                <pt idx="10">
                  <v>46569</v>
                </pt>
                <pt idx="11">
                  <v>46600</v>
                </pt>
                <pt idx="12">
                  <v>46631</v>
                </pt>
                <pt idx="13">
                  <v>46661</v>
                </pt>
                <pt idx="14">
                  <v>46692</v>
                </pt>
                <pt idx="15">
                  <v>46722</v>
                </pt>
                <pt idx="16">
                  <v>46753</v>
                </pt>
                <pt idx="17">
                  <v>46784</v>
                </pt>
                <pt idx="18">
                  <v>46813</v>
                </pt>
                <pt idx="19">
                  <v>46844</v>
                </pt>
                <pt idx="20">
                  <v>46874</v>
                </pt>
                <pt idx="21">
                  <v>46905</v>
                </pt>
                <pt idx="22">
                  <v>46935</v>
                </pt>
                <pt idx="23">
                  <v>46966</v>
                </pt>
              </numCache>
            </numRef>
          </cat>
          <val>
            <numRef>
              <f>月度净值跟踪!$H$4:$H$27</f>
              <numCache>
                <formatCode>#,##0;\(#,##0\);"-"</formatCode>
                <ptCount val="24"/>
                <pt idx="0">
                  <v>9125612.236500001</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1"/>
        </ser>
        <dLbls>
          <showLegendKey val="0"/>
          <showVal val="0"/>
          <showCatName val="0"/>
          <showSerName val="0"/>
          <showPercent val="0"/>
          <showBubbleSize val="0"/>
        </dLbls>
        <marker val="0"/>
        <smooth val="1"/>
        <axId val="10"/>
        <axId val="100"/>
      </lineChart>
      <dateAx>
        <axId val="10"/>
        <scaling>
          <orientation val="minMax"/>
        </scaling>
        <delete val="0"/>
        <axPos val="b"/>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t>月份</a:t>
                </a:r>
              </a:p>
            </rich>
          </tx>
          <layout/>
          <overlay val="0"/>
        </title>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
            </a:r>
          </a:p>
        </txPr>
        <crossAx val="100"/>
        <crosses val="autoZero"/>
        <lblOffset val="100"/>
        <baseTimeUnit val="days"/>
      </dateAx>
      <valAx>
        <axId val="100"/>
        <scaling>
          <orientation val="minMax"/>
        </scaling>
        <delete val="0"/>
        <axPos val="l"/>
        <majorGridlines/>
        <title>
          <tx>
            <rich>
              <a:bodyPr xmlns:a="http://schemas.openxmlformats.org/drawingml/2006/main" rot="-540000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t>元</a:t>
                </a:r>
              </a:p>
            </rich>
          </tx>
          <layout/>
          <overlay val="0"/>
        </title>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
            </a:r>
          </a:p>
        </txPr>
        <crossAx val="10"/>
        <crosses val="autoZero"/>
        <crossBetween val="between"/>
      </valAx>
    </plotArea>
    <legend>
      <legendPos val="r"/>
      <layout/>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3.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tx1"/>
                </a:solidFill>
                <a:latin typeface="+mn-lt"/>
                <a:ea typeface="+mn-ea"/>
                <a:cs typeface="+mn-cs"/>
              </a:defRPr>
            </a:pPr>
            <a:r>
              <a:t>资产增长与 FIRE 目标（实际购买力）</a:t>
            </a:r>
          </a:p>
        </rich>
      </tx>
      <layout/>
      <overlay val="0"/>
    </title>
    <plotArea>
      <layout/>
      <lineChart>
        <grouping val="standard"/>
        <varyColors val="0"/>
        <ser>
          <idx val="0"/>
          <order val="0"/>
          <tx>
            <strRef>
              <f>FIRE测算!$H$54</f>
              <strCache>
                <ptCount val="1"/>
                <pt idx="0">
                  <v>年末资产(元)</v>
                </pt>
              </strCache>
            </strRef>
          </tx>
          <spPr>
            <a:ln xmlns:a="http://schemas.openxmlformats.org/drawingml/2006/main" w="28575" cap="rnd" cmpd="sng" algn="ctr">
              <a:solidFill>
                <a:schemeClr val="accent1">
                  <a:shade val="95000"/>
                  <a:satMod val="105000"/>
                </a:schemeClr>
              </a:solidFill>
              <a:prstDash val="solid"/>
              <a:round/>
            </a:ln>
          </spPr>
          <marker>
            <symbol val="none"/>
            <spPr>
              <a:ln xmlns:a="http://schemas.openxmlformats.org/drawingml/2006/main">
                <a:prstDash val="solid"/>
              </a:ln>
            </spPr>
          </marker>
          <dLbls>
            <delete val="1"/>
          </dLbls>
          <cat>
            <numRef>
              <f>FIRE测算!$B$55:$B$108</f>
              <numCache>
                <formatCode>0</formatCode>
                <ptCount val="54"/>
                <pt idx="0">
                  <v>2026</v>
                </pt>
                <pt idx="1">
                  <v>2027</v>
                </pt>
                <pt idx="2">
                  <v>2028</v>
                </pt>
                <pt idx="3">
                  <v>2029</v>
                </pt>
                <pt idx="4">
                  <v>2030</v>
                </pt>
                <pt idx="5">
                  <v>2031</v>
                </pt>
                <pt idx="6">
                  <v>2032</v>
                </pt>
                <pt idx="7">
                  <v>2033</v>
                </pt>
                <pt idx="8">
                  <v>2034</v>
                </pt>
                <pt idx="9">
                  <v>2035</v>
                </pt>
                <pt idx="10">
                  <v>2036</v>
                </pt>
                <pt idx="11">
                  <v>2037</v>
                </pt>
                <pt idx="12">
                  <v>2038</v>
                </pt>
                <pt idx="13">
                  <v>2039</v>
                </pt>
                <pt idx="14">
                  <v>2040</v>
                </pt>
                <pt idx="15">
                  <v>2041</v>
                </pt>
                <pt idx="16">
                  <v>2042</v>
                </pt>
                <pt idx="17">
                  <v>2043</v>
                </pt>
                <pt idx="18">
                  <v>2044</v>
                </pt>
                <pt idx="19">
                  <v>2045</v>
                </pt>
                <pt idx="20">
                  <v>2046</v>
                </pt>
                <pt idx="21">
                  <v>2047</v>
                </pt>
                <pt idx="22">
                  <v>2048</v>
                </pt>
                <pt idx="23">
                  <v>2049</v>
                </pt>
                <pt idx="24">
                  <v>2050</v>
                </pt>
                <pt idx="25">
                  <v>2051</v>
                </pt>
                <pt idx="26">
                  <v>2052</v>
                </pt>
                <pt idx="27">
                  <v>2053</v>
                </pt>
                <pt idx="28">
                  <v>2054</v>
                </pt>
                <pt idx="29">
                  <v>2055</v>
                </pt>
                <pt idx="30">
                  <v>2056</v>
                </pt>
                <pt idx="31">
                  <v>2057</v>
                </pt>
                <pt idx="32">
                  <v>2058</v>
                </pt>
                <pt idx="33">
                  <v>2059</v>
                </pt>
                <pt idx="34">
                  <v>2060</v>
                </pt>
                <pt idx="35">
                  <v>2061</v>
                </pt>
                <pt idx="36">
                  <v>2062</v>
                </pt>
                <pt idx="37">
                  <v>2063</v>
                </pt>
                <pt idx="38">
                  <v>2064</v>
                </pt>
                <pt idx="39">
                  <v>2065</v>
                </pt>
                <pt idx="40">
                  <v>2066</v>
                </pt>
                <pt idx="41">
                  <v>2067</v>
                </pt>
                <pt idx="42">
                  <v>2068</v>
                </pt>
                <pt idx="43">
                  <v>2069</v>
                </pt>
                <pt idx="44">
                  <v>2070</v>
                </pt>
                <pt idx="45">
                  <v>2071</v>
                </pt>
                <pt idx="46">
                  <v>2072</v>
                </pt>
                <pt idx="47">
                  <v>2073</v>
                </pt>
                <pt idx="48">
                  <v>2074</v>
                </pt>
                <pt idx="49">
                  <v>2075</v>
                </pt>
                <pt idx="50">
                  <v>2076</v>
                </pt>
                <pt idx="51">
                  <v>2077</v>
                </pt>
                <pt idx="52">
                  <v>2078</v>
                </pt>
                <pt idx="53">
                  <v>2079</v>
                </pt>
              </numCache>
            </numRef>
          </cat>
          <val>
            <numRef>
              <f>FIRE测算!$H$55:$H$108</f>
              <numCache>
                <formatCode>#,##0;\(#,##0\);"-"</formatCode>
                <ptCount val="54"/>
                <pt idx="0">
                  <v>10031538.5832732</v>
                </pt>
                <pt idx="1">
                  <v>10871947.5942461</v>
                </pt>
                <pt idx="2">
                  <v>11749252.6105789</v>
                </pt>
                <pt idx="3">
                  <v>12665073.456897</v>
                </pt>
                <pt idx="4">
                  <v>13621101.0720779</v>
                </pt>
                <pt idx="5">
                  <v>14619100.6313398</v>
                </pt>
                <pt idx="6">
                  <v>15660914.8053986</v>
                </pt>
                <pt idx="7">
                  <v>16748467.1627088</v>
                </pt>
                <pt idx="8">
                  <v>17883765.7210717</v>
                </pt>
                <pt idx="9">
                  <v>19068906.6551675</v>
                </pt>
                <pt idx="10">
                  <v>20306078.1668578</v>
                </pt>
                <pt idx="11">
                  <v>21597564.5254028</v>
                </pt>
                <pt idx="12">
                  <v>22945750.2850546</v>
                </pt>
                <pt idx="13">
                  <v>23631114.6878131</v>
                </pt>
                <pt idx="14">
                  <v>24346568.2594732</v>
                </pt>
                <pt idx="15">
                  <v>25093431.9879379</v>
                </pt>
                <pt idx="16">
                  <v>25873084.855701</v>
                </pt>
                <pt idx="17">
                  <v>26686966.3859513</v>
                </pt>
                <pt idx="18">
                  <v>27536579.3004565</v>
                </pt>
                <pt idx="19">
                  <v>28423492.2941351</v>
                </pt>
                <pt idx="20">
                  <v>29349342.9314386</v>
                </pt>
                <pt idx="21">
                  <v>30315840.669892</v>
                </pt>
                <pt idx="22">
                  <v>31324770.016375</v>
                </pt>
                <pt idx="23">
                  <v>32377993.821972</v>
                </pt>
                <pt idx="24">
                  <v>33477456.7214732</v>
                </pt>
                <pt idx="25">
                  <v>34625188.7238794</v>
                </pt>
                <pt idx="26">
                  <v>35823308.9605375</v>
                </pt>
                <pt idx="27">
                  <v>37074029.5978294</v>
                </pt>
                <pt idx="28">
                  <v>38379659.9216366</v>
                </pt>
                <pt idx="29">
                  <v>39742610.601123</v>
                </pt>
                <pt idx="30">
                  <v>41165398.1397089</v>
                </pt>
                <pt idx="31">
                  <v>42650649.5214523</v>
                </pt>
                <pt idx="32">
                  <v>44201107.0614185</v>
                </pt>
                <pt idx="33">
                  <v>45819633.468993</v>
                </pt>
                <pt idx="34">
                  <v>47509217.1334853</v>
                </pt>
                <pt idx="35">
                  <v>49272977.6417847</v>
                </pt>
                <pt idx="36">
                  <v>51114171.5382533</v>
                </pt>
                <pt idx="37">
                  <v>53036198.3374937</v>
                </pt>
                <pt idx="38">
                  <v>55042606.801091</v>
                </pt>
                <pt idx="39">
                  <v>57137101.4899194</v>
                </pt>
                <pt idx="40">
                  <v>59323549.604111</v>
                </pt>
                <pt idx="41">
                  <v>61605988.1233159</v>
                </pt>
                <pt idx="42">
                  <v>63988631.2604371</v>
                </pt>
                <pt idx="43">
                  <v>66475878.2426027</v>
                </pt>
                <pt idx="44">
                  <v>69072321.4337413</v>
                </pt>
                <pt idx="45">
                  <v>71782754.8137593</v>
                </pt>
                <pt idx="46">
                  <v>74612182.8299731</v>
                </pt>
                <pt idx="47">
                  <v>77565829.6371427</v>
                </pt>
                <pt idx="48">
                  <v>80649148.7431636</v>
                </pt>
                <pt idx="49">
                  <v>83867833.07822929</v>
                </pt>
                <pt idx="50">
                  <v>87227825.506054</v>
                </pt>
                <pt idx="51">
                  <v>90735329.7965638</v>
                </pt>
                <pt idx="52">
                  <v>94396822.0803154</v>
                </pt>
                <pt idx="53">
                  <v>98219062.8057926</v>
                </pt>
              </numCache>
            </numRef>
          </val>
          <smooth val="1"/>
        </ser>
        <dLbls>
          <showLegendKey val="0"/>
          <showVal val="0"/>
          <showCatName val="0"/>
          <showSerName val="0"/>
          <showPercent val="0"/>
          <showBubbleSize val="0"/>
        </dLbls>
        <marker val="0"/>
        <smooth val="1"/>
        <axId val="10"/>
        <axId val="100"/>
      </lineChart>
      <catAx>
        <axId val="10"/>
        <scaling>
          <orientation val="minMax"/>
        </scaling>
        <delete val="0"/>
        <axPos val="b"/>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t>年份</a:t>
                </a:r>
              </a:p>
            </rich>
          </tx>
          <layout/>
          <overlay val="0"/>
        </title>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scaling>
        <delete val="0"/>
        <axPos val="l"/>
        <majorGridlines/>
        <title>
          <tx>
            <rich>
              <a:bodyPr xmlns:a="http://schemas.openxmlformats.org/drawingml/2006/main" rot="-540000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t>元</a:t>
                </a:r>
              </a:p>
            </rich>
          </tx>
          <layout/>
          <overlay val="0"/>
        </title>
        <numFmt formatCode="#,##0;\(#,##0\);&quot;-&quot;"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
            </a:r>
          </a:p>
        </txPr>
        <crossAx val="10"/>
        <crosses val="autoZero"/>
        <crossBetween val="between"/>
      </valAx>
    </plotArea>
    <legend>
      <legendPos val="r"/>
      <layout/>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4</col>
      <colOff>0</colOff>
      <row>4</row>
      <rowOff>0</rowOff>
    </from>
    <ext cx="4680000" cy="263015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col>
      <colOff>0</colOff>
      <row>31</row>
      <rowOff>0</rowOff>
    </from>
    <ext cx="7200000" cy="30241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9</col>
      <colOff>0</colOff>
      <row>3</row>
      <rowOff>0</rowOff>
    </from>
    <ext cx="7200000" cy="34559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1F4E79"/>
    <outlinePr summaryBelow="1" summaryRight="1"/>
    <pageSetUpPr/>
  </sheetPr>
  <dimension ref="A1:F39"/>
  <sheetViews>
    <sheetView tabSelected="1" workbookViewId="0">
      <pane ySplit="4" topLeftCell="A5" activePane="bottomLeft" state="frozen"/>
      <selection activeCell="A1" sqref="A1"/>
      <selection pane="bottomLeft" activeCell="D21" sqref="D21"/>
    </sheetView>
  </sheetViews>
  <sheetFormatPr baseColWidth="8" defaultColWidth="9" defaultRowHeight="14"/>
  <cols>
    <col width="28" customWidth="1" min="1" max="1"/>
    <col width="20" customWidth="1" min="2" max="2"/>
    <col width="14" customWidth="1" min="3" max="3"/>
    <col width="16" customWidth="1" min="4" max="4"/>
    <col width="18" customWidth="1" min="5" max="5"/>
    <col width="30" customWidth="1" min="6" max="6"/>
  </cols>
  <sheetData>
    <row r="1" ht="26" customHeight="1">
      <c r="A1" s="1" t="inlineStr">
        <is>
          <t>家庭资产与 FIRE 管理看板</t>
        </is>
      </c>
    </row>
    <row r="2" ht="16" customHeight="1">
      <c r="A2" s="2" t="inlineStr">
        <is>
          <t>数据截至 2026-09-15 ｜ 金额单位：人民币元 ｜ 蓝色＝手工输入 ｜ 绿色＝跨表引用 ｜ 黑色＝公式计算</t>
        </is>
      </c>
    </row>
    <row r="4" ht="20" customHeight="1">
      <c r="A4" s="3" t="inlineStr">
        <is>
          <t>一、资产总览</t>
        </is>
      </c>
    </row>
    <row r="5" ht="30" customHeight="1">
      <c r="A5" s="7" t="inlineStr">
        <is>
          <t>资产类别</t>
        </is>
      </c>
      <c r="B5" s="7" t="inlineStr">
        <is>
          <t>金额(元)</t>
        </is>
      </c>
      <c r="C5" s="7" t="inlineStr">
        <is>
          <t>占总资产</t>
        </is>
      </c>
    </row>
    <row r="6" ht="14.5" customHeight="1">
      <c r="A6" s="8" t="inlineStr">
        <is>
          <t>现金及存款</t>
        </is>
      </c>
      <c r="B6" s="90">
        <f>资产明细!G8</f>
        <v/>
      </c>
      <c r="C6" s="91">
        <f>IFERROR(B6/$B$13,"")</f>
        <v/>
      </c>
    </row>
    <row r="7" ht="14.5" customHeight="1">
      <c r="A7" s="8" t="inlineStr">
        <is>
          <t>股票及证券</t>
        </is>
      </c>
      <c r="B7" s="90">
        <f>资产明细!G15</f>
        <v/>
      </c>
      <c r="C7" s="91">
        <f>IFERROR(B7/$B$13,"")</f>
        <v/>
      </c>
    </row>
    <row r="8" ht="14.5" customHeight="1">
      <c r="A8" s="8" t="inlineStr">
        <is>
          <t>基金及理财</t>
        </is>
      </c>
      <c r="B8" s="90">
        <f>资产明细!G19</f>
        <v/>
      </c>
      <c r="C8" s="91">
        <f>IFERROR(B8/$B$13,"")</f>
        <v/>
      </c>
    </row>
    <row r="9" ht="14.5" customHeight="1">
      <c r="A9" s="8" t="inlineStr">
        <is>
          <t>保险（储蓄型）</t>
        </is>
      </c>
      <c r="B9" s="90">
        <f>资产明细!G24</f>
        <v/>
      </c>
      <c r="C9" s="91">
        <f>IFERROR(B9/$B$13,"")</f>
        <v/>
      </c>
    </row>
    <row r="10" ht="14.5" customHeight="1">
      <c r="A10" s="76" t="inlineStr">
        <is>
          <t>教育金专项（恒泰尊享）</t>
        </is>
      </c>
      <c r="B10" s="90">
        <f>资产明细!G27</f>
        <v/>
      </c>
      <c r="C10" s="91">
        <f>IFERROR(B10/$B$13,"")</f>
        <v/>
      </c>
    </row>
    <row r="11" ht="16" customHeight="1">
      <c r="A11" s="8" t="inlineStr">
        <is>
          <t>自用房产（深圳城市山林）</t>
        </is>
      </c>
      <c r="B11" s="90">
        <f>资产明细!G29</f>
        <v/>
      </c>
      <c r="C11" s="91">
        <f>IFERROR(B11/$B$13,"")</f>
        <v/>
      </c>
    </row>
    <row r="12" ht="16" customHeight="1">
      <c r="A12" s="8" t="inlineStr">
        <is>
          <t>投资性房地产（待售）</t>
        </is>
      </c>
      <c r="B12" s="90">
        <f>资产明细!G30+资产明细!G31+资产明细!G32</f>
        <v/>
      </c>
      <c r="C12" s="91">
        <f>IFERROR(B12/$B$13,"")</f>
        <v/>
      </c>
    </row>
    <row r="13" ht="14.5" customHeight="1">
      <c r="A13" s="78" t="inlineStr">
        <is>
          <t>资产合计</t>
        </is>
      </c>
      <c r="B13" s="92">
        <f>SUM(B6:B12)</f>
        <v/>
      </c>
      <c r="C13" s="93">
        <f>1</f>
        <v/>
      </c>
    </row>
    <row r="14" ht="14.5" customHeight="1">
      <c r="A14" s="78" t="inlineStr">
        <is>
          <t>负债合计</t>
        </is>
      </c>
      <c r="B14" s="92">
        <f>资产明细!G40</f>
        <v/>
      </c>
      <c r="C14" s="61" t="inlineStr"/>
    </row>
    <row r="15" ht="14.5" customHeight="1">
      <c r="A15" s="81" t="inlineStr">
        <is>
          <t>净资产</t>
        </is>
      </c>
      <c r="B15" s="94">
        <f>B13-B14</f>
        <v/>
      </c>
      <c r="C15" s="61" t="inlineStr"/>
    </row>
    <row r="16" ht="14.5" customHeight="1">
      <c r="A16" s="8" t="inlineStr">
        <is>
          <t>其中：可投资资产（不含保险）</t>
        </is>
      </c>
      <c r="B16" s="90">
        <f>资产明细!G44</f>
        <v/>
      </c>
      <c r="C16" s="15" t="inlineStr"/>
    </row>
    <row r="17" ht="14.5" customHeight="1">
      <c r="A17" s="8" t="inlineStr">
        <is>
          <t>其中：可立即变现资产（估算）</t>
        </is>
      </c>
      <c r="B17" s="90">
        <f>资产明细!G45</f>
        <v/>
      </c>
      <c r="C17" s="15" t="inlineStr"/>
    </row>
    <row r="18" ht="14.5" customHeight="1">
      <c r="A18" s="8" t="inlineStr">
        <is>
          <t>保险立即退保损失</t>
        </is>
      </c>
      <c r="B18" s="90">
        <f>资产明细!G47</f>
        <v/>
      </c>
      <c r="C18" s="15" t="inlineStr"/>
    </row>
    <row r="19" ht="20" customHeight="1">
      <c r="A19" s="3" t="inlineStr">
        <is>
          <t>二、FIRE 财务自由进度</t>
        </is>
      </c>
    </row>
    <row r="20" ht="30" customHeight="1">
      <c r="A20" s="7" t="inlineStr">
        <is>
          <t>指标</t>
        </is>
      </c>
      <c r="B20" s="41" t="n"/>
      <c r="C20" s="41" t="n"/>
      <c r="D20" s="41" t="n"/>
      <c r="E20" s="41" t="n"/>
      <c r="F20" s="42" t="n"/>
    </row>
    <row r="21" ht="14.5" customHeight="1">
      <c r="A21" s="8" t="inlineStr">
        <is>
          <t>年支出（元）</t>
        </is>
      </c>
      <c r="B21" s="90">
        <f>FIRE测算!B14</f>
        <v/>
      </c>
      <c r="C21" s="11" t="inlineStr">
        <is>
          <t>取自「FIRE测算」</t>
        </is>
      </c>
    </row>
    <row r="22" ht="14.5" customHeight="1">
      <c r="A22" s="8" t="inlineStr">
        <is>
          <t>安全提款率 SWR</t>
        </is>
      </c>
      <c r="B22" s="95">
        <f>FIRE测算!B6</f>
        <v/>
      </c>
      <c r="C22" s="11" t="inlineStr">
        <is>
          <t>默认 4%</t>
        </is>
      </c>
    </row>
    <row r="23" ht="14.5" customHeight="1">
      <c r="A23" s="8" t="inlineStr">
        <is>
          <t>FIRE 目标资产（元）</t>
        </is>
      </c>
      <c r="B23" s="90">
        <f>FIRE测算!B21</f>
        <v/>
      </c>
      <c r="C23" s="11" t="inlineStr">
        <is>
          <t>＝年支出 ÷ SWR</t>
        </is>
      </c>
    </row>
    <row r="24" ht="26" customHeight="1">
      <c r="A24" s="8" t="inlineStr">
        <is>
          <t>当前可投资资产（元）</t>
        </is>
      </c>
      <c r="B24" s="90">
        <f>FIRE测算!B26</f>
        <v/>
      </c>
      <c r="C24" s="11" t="inlineStr">
        <is>
          <t>现金＋股票＋基金（年金按开关）</t>
        </is>
      </c>
    </row>
    <row r="25" ht="26" customHeight="1">
      <c r="A25" s="8" t="inlineStr">
        <is>
          <t>财务自由度（被动收入覆盖率）</t>
        </is>
      </c>
      <c r="B25" s="96">
        <f>FIRE测算!B29</f>
        <v/>
      </c>
      <c r="C25" s="11" t="inlineStr">
        <is>
          <t>被动收入 ÷ 年支出</t>
        </is>
      </c>
    </row>
    <row r="26" ht="14.5" customHeight="1">
      <c r="A26" s="8" t="inlineStr">
        <is>
          <t>FIRE 缺口（元）</t>
        </is>
      </c>
      <c r="B26" s="90">
        <f>FIRE测算!B30</f>
        <v/>
      </c>
      <c r="C26" s="11" t="inlineStr"/>
    </row>
    <row r="27" ht="14.5" customHeight="1">
      <c r="A27" s="8" t="inlineStr">
        <is>
          <t>预计达成所需年数</t>
        </is>
      </c>
      <c r="B27" s="97">
        <f>FIRE测算!B43</f>
        <v/>
      </c>
      <c r="C27" s="11" t="inlineStr"/>
    </row>
    <row r="28" ht="14.5" customHeight="1">
      <c r="A28" s="8" t="inlineStr">
        <is>
          <t>预计达成日期</t>
        </is>
      </c>
      <c r="B28" s="98">
        <f>FIRE测算!B44</f>
        <v/>
      </c>
      <c r="C28" s="11" t="inlineStr"/>
    </row>
    <row r="29" ht="14.5" customHeight="1">
      <c r="A29" s="8" t="inlineStr">
        <is>
          <t>预计退休年龄</t>
        </is>
      </c>
      <c r="B29" s="99">
        <f>FIRE测算!B46</f>
        <v/>
      </c>
      <c r="C29" s="11" t="inlineStr"/>
    </row>
    <row r="30" ht="14.5" customHeight="1">
      <c r="A30" s="87" t="inlineStr">
        <is>
          <t>FIRE 状态</t>
        </is>
      </c>
      <c r="B30" s="88">
        <f>FIRE测算!B31</f>
        <v/>
      </c>
      <c r="C30" s="42" t="n"/>
    </row>
    <row r="32" ht="20" customHeight="1">
      <c r="A32" s="3" t="inlineStr">
        <is>
          <t>三、投资收益概览</t>
        </is>
      </c>
    </row>
    <row r="33" ht="30" customHeight="1">
      <c r="A33" s="7" t="inlineStr">
        <is>
          <t>指标</t>
        </is>
      </c>
      <c r="B33" s="41" t="n"/>
      <c r="C33" s="41" t="n"/>
      <c r="D33" s="41" t="n"/>
      <c r="E33" s="41" t="n"/>
      <c r="F33" s="42" t="n"/>
    </row>
    <row r="34" ht="26" customHeight="1">
      <c r="A34" s="8" t="inlineStr">
        <is>
          <t>总投入成本／本金（元）</t>
        </is>
      </c>
      <c r="B34" s="90">
        <f>资产明细!H35</f>
        <v/>
      </c>
      <c r="C34" s="11" t="inlineStr">
        <is>
          <t>已填写成本的项目合计</t>
        </is>
      </c>
    </row>
    <row r="35" ht="14.5" customHeight="1">
      <c r="A35" s="8" t="inlineStr">
        <is>
          <t>当前总市值（元）</t>
        </is>
      </c>
      <c r="B35" s="90">
        <f>资产明细!G35</f>
        <v/>
      </c>
      <c r="C35" s="11" t="inlineStr">
        <is>
          <t>含全部持仓</t>
        </is>
      </c>
    </row>
    <row r="36" ht="39" customHeight="1">
      <c r="A36" s="8" t="inlineStr">
        <is>
          <t>累计盈亏（元）</t>
        </is>
      </c>
      <c r="B36" s="90">
        <f>资产明细!I35</f>
        <v/>
      </c>
      <c r="C36" s="11" t="inlineStr">
        <is>
          <t>仅统计已填写成本的项目；阿里持仓成本待补充</t>
        </is>
      </c>
    </row>
    <row r="37" ht="26" customHeight="1">
      <c r="A37" s="8" t="inlineStr">
        <is>
          <t>累计收益率</t>
        </is>
      </c>
      <c r="B37" s="96">
        <f>资产明细!J35</f>
        <v/>
      </c>
      <c r="C37" s="11" t="inlineStr">
        <is>
          <t>＝累计盈亏 ÷ 已填成本</t>
        </is>
      </c>
    </row>
    <row r="39">
      <c r="A39" s="89" t="inlineStr">
        <is>
          <t>本表为自动计算看板，所有明细维护请在「资产明细」「收支流水」中进行。</t>
        </is>
      </c>
    </row>
  </sheetData>
  <mergeCells count="6">
    <mergeCell ref="A2:F2"/>
    <mergeCell ref="B30:C30"/>
    <mergeCell ref="A19:F19"/>
    <mergeCell ref="A1:F1"/>
    <mergeCell ref="A32:F32"/>
    <mergeCell ref="A4:F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FF2E75B6"/>
    <outlinePr summaryBelow="1" summaryRight="1"/>
    <pageSetUpPr/>
  </sheetPr>
  <dimension ref="A1:M51"/>
  <sheetViews>
    <sheetView workbookViewId="0">
      <pane xSplit="2" ySplit="4" topLeftCell="C20" activePane="bottomRight" state="frozen"/>
      <selection activeCell="A1" sqref="A1"/>
      <selection pane="topRight" activeCell="A1" sqref="A1"/>
      <selection pane="bottomLeft" activeCell="A1" sqref="A1"/>
      <selection pane="bottomRight" activeCell="A1" sqref="A1:M1"/>
    </sheetView>
  </sheetViews>
  <sheetFormatPr baseColWidth="8" defaultColWidth="9" defaultRowHeight="14"/>
  <cols>
    <col width="16" customWidth="1" min="1" max="1"/>
    <col width="26" customWidth="1" min="2" max="2"/>
    <col width="14" customWidth="1" min="3" max="4"/>
    <col width="8" customWidth="1" min="5" max="5"/>
    <col width="10" customWidth="1" min="6" max="6"/>
    <col width="18" customWidth="1" min="7" max="7"/>
    <col width="16" customWidth="1" min="8" max="8"/>
    <col width="14" customWidth="1" min="9" max="9"/>
    <col width="10" customWidth="1" min="10" max="11"/>
    <col width="8" customWidth="1" min="12" max="12"/>
    <col width="46" customWidth="1" min="13" max="13"/>
  </cols>
  <sheetData>
    <row r="1" ht="26" customHeight="1">
      <c r="A1" s="1" t="inlineStr">
        <is>
          <t>家庭资产明细表</t>
        </is>
      </c>
    </row>
    <row r="2" ht="16" customHeight="1">
      <c r="A2" s="2" t="inlineStr">
        <is>
          <t>口径：人民币元；蓝色字体＝需手工维护的输入项；黑色＝公式自动计算；黄色底＝重点核对/需要补充</t>
        </is>
      </c>
    </row>
    <row r="4" ht="30" customHeight="1">
      <c r="A4" s="7" t="inlineStr">
        <is>
          <t>资产大类</t>
        </is>
      </c>
      <c r="B4" s="7" t="inlineStr">
        <is>
          <t>账户／产品</t>
        </is>
      </c>
      <c r="C4" s="7" t="inlineStr">
        <is>
          <t>持有数量／份额</t>
        </is>
      </c>
      <c r="D4" s="7" t="inlineStr">
        <is>
          <t>单价／单位金额</t>
        </is>
      </c>
      <c r="E4" s="7" t="inlineStr">
        <is>
          <t>币种</t>
        </is>
      </c>
      <c r="F4" s="7" t="inlineStr">
        <is>
          <t>汇率(→CNY)</t>
        </is>
      </c>
      <c r="G4" s="7" t="inlineStr">
        <is>
          <t>市值(元)</t>
        </is>
      </c>
      <c r="H4" s="7" t="inlineStr">
        <is>
          <t>成本／本金(元)</t>
        </is>
      </c>
      <c r="I4" s="7" t="inlineStr">
        <is>
          <t>盈亏(元)</t>
        </is>
      </c>
      <c r="J4" s="7" t="inlineStr">
        <is>
          <t>盈亏率</t>
        </is>
      </c>
      <c r="K4" s="7" t="inlineStr">
        <is>
          <t>占比</t>
        </is>
      </c>
      <c r="L4" s="7" t="inlineStr">
        <is>
          <t>流动性</t>
        </is>
      </c>
      <c r="M4" s="7" t="inlineStr">
        <is>
          <t>备注</t>
        </is>
      </c>
    </row>
    <row r="5" ht="14.5" customHeight="1">
      <c r="A5" s="70" t="inlineStr">
        <is>
          <t>现金及存款</t>
        </is>
      </c>
      <c r="B5" s="41" t="n"/>
      <c r="C5" s="41" t="n"/>
      <c r="D5" s="41" t="n"/>
      <c r="E5" s="41" t="n"/>
      <c r="F5" s="41" t="n"/>
      <c r="G5" s="41" t="n"/>
      <c r="H5" s="41" t="n"/>
      <c r="I5" s="41" t="n"/>
      <c r="J5" s="41" t="n"/>
      <c r="K5" s="41" t="n"/>
      <c r="L5" s="41" t="n"/>
      <c r="M5" s="42" t="n"/>
    </row>
    <row r="6" ht="14.5" customHeight="1">
      <c r="A6" s="59" t="inlineStr">
        <is>
          <t>现金及存款</t>
        </is>
      </c>
      <c r="B6" s="59" t="inlineStr">
        <is>
          <t>招商银行</t>
        </is>
      </c>
      <c r="C6" s="100" t="n">
        <v>1</v>
      </c>
      <c r="D6" s="101" t="n">
        <v>1310000</v>
      </c>
      <c r="E6" s="44" t="inlineStr">
        <is>
          <t>CNY</t>
        </is>
      </c>
      <c r="F6" s="102" t="n">
        <v>1</v>
      </c>
      <c r="G6" s="103">
        <f>C6*D6*F6</f>
        <v/>
      </c>
      <c r="H6" s="104" t="n">
        <v>1310000</v>
      </c>
      <c r="I6" s="103">
        <f>IF(H6="","",G6-H6)</f>
        <v/>
      </c>
      <c r="J6" s="105">
        <f>IFERROR(I6/H6,"")</f>
        <v/>
      </c>
      <c r="K6" s="106">
        <f>IFERROR(G6/$G$35,"")</f>
        <v/>
      </c>
      <c r="L6" s="33" t="inlineStr">
        <is>
          <t>高</t>
        </is>
      </c>
      <c r="M6" s="40" t="inlineStr">
        <is>
          <t>活期＋存款，按最新余额更新</t>
        </is>
      </c>
    </row>
    <row r="7" ht="14.5" customHeight="1">
      <c r="A7" s="59" t="inlineStr">
        <is>
          <t>现金及存款</t>
        </is>
      </c>
      <c r="B7" s="59" t="inlineStr">
        <is>
          <t>工商银行</t>
        </is>
      </c>
      <c r="C7" s="100" t="n">
        <v>1</v>
      </c>
      <c r="D7" s="101" t="n">
        <v>243000</v>
      </c>
      <c r="E7" s="44" t="inlineStr">
        <is>
          <t>CNY</t>
        </is>
      </c>
      <c r="F7" s="102" t="n">
        <v>1</v>
      </c>
      <c r="G7" s="103">
        <f>C7*D7*F7</f>
        <v/>
      </c>
      <c r="H7" s="104" t="n">
        <v>243000</v>
      </c>
      <c r="I7" s="103">
        <f>IF(H7="","",G7-H7)</f>
        <v/>
      </c>
      <c r="J7" s="105">
        <f>IFERROR(I7/H7,"")</f>
        <v/>
      </c>
      <c r="K7" s="106">
        <f>IFERROR(G7/$G$35,"")</f>
        <v/>
      </c>
      <c r="L7" s="33" t="inlineStr">
        <is>
          <t>高</t>
        </is>
      </c>
      <c r="M7" s="40" t="inlineStr">
        <is>
          <t>活期＋存款，按最新余额更新</t>
        </is>
      </c>
    </row>
    <row r="8" ht="14.5" customHeight="1">
      <c r="A8" s="8" t="inlineStr">
        <is>
          <t>现金及存款 小计</t>
        </is>
      </c>
      <c r="B8" s="15" t="inlineStr"/>
      <c r="C8" s="15" t="inlineStr"/>
      <c r="D8" s="15" t="inlineStr"/>
      <c r="E8" s="15" t="inlineStr"/>
      <c r="F8" s="15" t="inlineStr"/>
      <c r="G8" s="107">
        <f>SUM(G6:G7)</f>
        <v/>
      </c>
      <c r="H8" s="107">
        <f>SUM(H6:H7)</f>
        <v/>
      </c>
      <c r="I8" s="107">
        <f>SUM(I6:I7)</f>
        <v/>
      </c>
      <c r="J8" s="108">
        <f>IFERROR(I8/H8,"")</f>
        <v/>
      </c>
      <c r="K8" s="109">
        <f>IFERROR(G8/$G$35,"")</f>
        <v/>
      </c>
      <c r="L8" s="15" t="inlineStr"/>
      <c r="M8" s="15" t="inlineStr"/>
    </row>
    <row r="9" ht="14.5" customHeight="1">
      <c r="A9" s="70" t="inlineStr">
        <is>
          <t>股票及证券</t>
        </is>
      </c>
      <c r="B9" s="41" t="n"/>
      <c r="C9" s="41" t="n"/>
      <c r="D9" s="41" t="n"/>
      <c r="E9" s="41" t="n"/>
      <c r="F9" s="41" t="n"/>
      <c r="G9" s="41" t="n"/>
      <c r="H9" s="41" t="n"/>
      <c r="I9" s="41" t="n"/>
      <c r="J9" s="41" t="n"/>
      <c r="K9" s="41" t="n"/>
      <c r="L9" s="41" t="n"/>
      <c r="M9" s="42" t="n"/>
    </row>
    <row r="10" ht="14.5" customHeight="1">
      <c r="A10" s="59" t="inlineStr">
        <is>
          <t>股票及证券</t>
        </is>
      </c>
      <c r="B10" s="59" t="inlineStr">
        <is>
          <t>阿里巴巴-W（09988.HK）</t>
        </is>
      </c>
      <c r="C10" s="100" t="n">
        <v>4004</v>
      </c>
      <c r="D10" s="101" t="n">
        <v>107.2</v>
      </c>
      <c r="E10" s="44" t="inlineStr">
        <is>
          <t>HKD</t>
        </is>
      </c>
      <c r="F10" s="102" t="n">
        <v>0.92</v>
      </c>
      <c r="G10" s="103">
        <f>C10*D10*F10</f>
        <v/>
      </c>
      <c r="H10" s="110" t="n"/>
      <c r="I10" s="103">
        <f>IF(H10="","",G10-H10)</f>
        <v/>
      </c>
      <c r="J10" s="105">
        <f>IFERROR(I10/H10,"")</f>
        <v/>
      </c>
      <c r="K10" s="106">
        <f>IFERROR(G10/$G$35,"")</f>
        <v/>
      </c>
      <c r="L10" s="33" t="inlineStr">
        <is>
          <t>高</t>
        </is>
      </c>
      <c r="M10" s="40" t="inlineStr">
        <is>
          <t>H股 4,004 股（3164＋840）；不含港股通 6,400 股（见下行，含在中信证券账户内）；单价请按最新股价更新</t>
        </is>
      </c>
    </row>
    <row r="11" ht="14.5" customHeight="1">
      <c r="A11" s="59" t="inlineStr">
        <is>
          <t>股票及证券</t>
        </is>
      </c>
      <c r="B11" s="59" t="inlineStr">
        <is>
          <t>阿里巴巴（BABA.US）</t>
        </is>
      </c>
      <c r="C11" s="100" t="n">
        <v>2177</v>
      </c>
      <c r="D11" s="101" t="n">
        <v>109.51</v>
      </c>
      <c r="E11" s="44" t="inlineStr">
        <is>
          <t>USD</t>
        </is>
      </c>
      <c r="F11" s="102" t="n">
        <v>7.15</v>
      </c>
      <c r="G11" s="103">
        <f>C11*D11*F11</f>
        <v/>
      </c>
      <c r="H11" s="110" t="n"/>
      <c r="I11" s="103">
        <f>IF(H11="","",G11-H11)</f>
        <v/>
      </c>
      <c r="J11" s="105">
        <f>IFERROR(I11/H11,"")</f>
        <v/>
      </c>
      <c r="K11" s="106">
        <f>IFERROR(G11/$G$35,"")</f>
        <v/>
      </c>
      <c r="L11" s="33" t="inlineStr">
        <is>
          <t>高</t>
        </is>
      </c>
      <c r="M11" s="40" t="inlineStr">
        <is>
          <t>美股 ADR 2,177 股；单价请按最新股价更新</t>
        </is>
      </c>
    </row>
    <row r="12" ht="14.5" customHeight="1">
      <c r="A12" s="59" t="inlineStr">
        <is>
          <t>股票及证券</t>
        </is>
      </c>
      <c r="B12" s="59" t="inlineStr">
        <is>
          <t>阿里巴巴-W（港股通·中信证券账户内）</t>
        </is>
      </c>
      <c r="C12" s="100" t="n">
        <v>6400</v>
      </c>
      <c r="D12" s="101" t="n">
        <v>107.2</v>
      </c>
      <c r="E12" s="44" t="inlineStr">
        <is>
          <t>HKD</t>
        </is>
      </c>
      <c r="F12" s="102" t="n">
        <v>0.92</v>
      </c>
      <c r="G12" s="103">
        <f>C12*D12*F12</f>
        <v/>
      </c>
      <c r="H12" s="107" t="n">
        <v>865536</v>
      </c>
      <c r="I12" s="107">
        <f>IF(H12="","",G12-H12)</f>
        <v/>
      </c>
      <c r="J12" s="108">
        <f>IFERROR(I12/H12,"")</f>
        <v/>
      </c>
      <c r="K12" s="106">
        <f>IFERROR(G12/$G$35,"")</f>
        <v/>
      </c>
      <c r="L12" s="33" t="inlineStr">
        <is>
          <t>高</t>
        </is>
      </c>
      <c r="M12" s="40" t="inlineStr">
        <is>
          <t>自购，成本 147 HKD；含在中信证券账户 322 万市值内，本行单列、该账户按净额计，不重复</t>
        </is>
      </c>
    </row>
    <row r="13" ht="14.5" customHeight="1">
      <c r="A13" s="59" t="inlineStr">
        <is>
          <t>股票及证券</t>
        </is>
      </c>
      <c r="B13" s="59" t="inlineStr">
        <is>
          <t>九毛九（09922.HK·中信证券账户内）</t>
        </is>
      </c>
      <c r="C13" s="100" t="n">
        <v>63000</v>
      </c>
      <c r="D13" s="101" t="n">
        <v>1.035</v>
      </c>
      <c r="E13" s="44" t="inlineStr">
        <is>
          <t>HKD</t>
        </is>
      </c>
      <c r="F13" s="102" t="n">
        <v>0.92</v>
      </c>
      <c r="G13" s="103">
        <f>C13*D13*F13</f>
        <v/>
      </c>
      <c r="H13" s="107" t="n">
        <v>676972.8</v>
      </c>
      <c r="I13" s="107">
        <f>IF(H13="","",G13-H13)</f>
        <v/>
      </c>
      <c r="J13" s="108">
        <f>IFERROR(I13/H13,"")</f>
        <v/>
      </c>
      <c r="K13" s="106">
        <f>IFERROR(G13/$G$35,"")</f>
        <v/>
      </c>
      <c r="L13" s="33" t="inlineStr">
        <is>
          <t>中</t>
        </is>
      </c>
      <c r="M13" s="40" t="inlineStr">
        <is>
          <t>成本 11.68 HKD，浮亏约 -91%；含在中信证券账户内；建议分批清仓</t>
        </is>
      </c>
    </row>
    <row r="14" ht="14.5" customHeight="1">
      <c r="A14" s="59" t="inlineStr">
        <is>
          <t>股票及证券</t>
        </is>
      </c>
      <c r="B14" s="59" t="inlineStr">
        <is>
          <t>中信证券账户-其他持仓（净额）</t>
        </is>
      </c>
      <c r="C14" s="100" t="n">
        <v>1</v>
      </c>
      <c r="D14" s="101" t="n">
        <v>2528817.8</v>
      </c>
      <c r="E14" s="44" t="inlineStr">
        <is>
          <t>CNY</t>
        </is>
      </c>
      <c r="F14" s="102" t="n">
        <v>1</v>
      </c>
      <c r="G14" s="103">
        <f>C14*D14*F14</f>
        <v/>
      </c>
      <c r="H14" s="104" t="n">
        <v>2261491.2</v>
      </c>
      <c r="I14" s="103">
        <f>IF(H14="","",G14-H14)</f>
        <v/>
      </c>
      <c r="J14" s="105">
        <f>IFERROR(I14/H14,"")</f>
        <v/>
      </c>
      <c r="K14" s="106">
        <f>IFERROR(G14/$G$35,"")</f>
        <v/>
      </c>
      <c r="L14" s="33" t="inlineStr">
        <is>
          <t>高</t>
        </is>
      </c>
      <c r="M14" s="40" t="inlineStr">
        <is>
          <t>＝原账户市值 322 万 − 阿里港股通 63.1 万 − 九毛九 6.0 万（倒挤，请核对流水）；成本＝推算 380.4 万 − 两项成本</t>
        </is>
      </c>
    </row>
    <row r="15" ht="14.5" customHeight="1">
      <c r="A15" s="8" t="inlineStr">
        <is>
          <t>股票及证券 小计</t>
        </is>
      </c>
      <c r="B15" s="15" t="inlineStr"/>
      <c r="C15" s="15" t="inlineStr"/>
      <c r="D15" s="15" t="inlineStr"/>
      <c r="E15" s="15" t="inlineStr"/>
      <c r="F15" s="15" t="inlineStr"/>
      <c r="G15" s="107">
        <f>SUM(G10:G14)</f>
        <v/>
      </c>
      <c r="H15" s="107">
        <f>SUM(H10:H14)</f>
        <v/>
      </c>
      <c r="I15" s="107">
        <f>SUM(I10:I14)</f>
        <v/>
      </c>
      <c r="J15" s="108">
        <f>IFERROR(I15/H15,"")</f>
        <v/>
      </c>
      <c r="K15" s="109">
        <f>IFERROR(G15/$G$35,"")</f>
        <v/>
      </c>
      <c r="L15" s="15" t="inlineStr"/>
      <c r="M15" s="15" t="inlineStr"/>
    </row>
    <row r="16" ht="14.5" customHeight="1">
      <c r="A16" s="70" t="inlineStr">
        <is>
          <t>基金及理财</t>
        </is>
      </c>
      <c r="B16" s="41" t="n"/>
      <c r="C16" s="41" t="n"/>
      <c r="D16" s="41" t="n"/>
      <c r="E16" s="41" t="n"/>
      <c r="F16" s="41" t="n"/>
      <c r="G16" s="41" t="n"/>
      <c r="H16" s="41" t="n"/>
      <c r="I16" s="41" t="n"/>
      <c r="J16" s="41" t="n"/>
      <c r="K16" s="41" t="n"/>
      <c r="L16" s="41" t="n"/>
      <c r="M16" s="42" t="n"/>
    </row>
    <row r="17" ht="14.5" customHeight="1">
      <c r="A17" s="59" t="inlineStr">
        <is>
          <t>基金及理财</t>
        </is>
      </c>
      <c r="B17" s="59" t="inlineStr">
        <is>
          <t>高毅晓峰基金（私募）</t>
        </is>
      </c>
      <c r="C17" s="100" t="n">
        <v>1</v>
      </c>
      <c r="D17" s="101" t="n">
        <v>1510000</v>
      </c>
      <c r="E17" s="44" t="inlineStr">
        <is>
          <t>CNY</t>
        </is>
      </c>
      <c r="F17" s="102" t="n">
        <v>1</v>
      </c>
      <c r="G17" s="103">
        <f>C17*D17*F17</f>
        <v/>
      </c>
      <c r="H17" s="104" t="n">
        <v>1000000</v>
      </c>
      <c r="I17" s="103">
        <f>IF(H17="","",G17-H17)</f>
        <v/>
      </c>
      <c r="J17" s="105">
        <f>IFERROR(I17/H17,"")</f>
        <v/>
      </c>
      <c r="K17" s="106">
        <f>IFERROR(G17/$G$35,"")</f>
        <v/>
      </c>
      <c r="L17" s="33" t="inlineStr">
        <is>
          <t>中</t>
        </is>
      </c>
      <c r="M17" s="40" t="inlineStr">
        <is>
          <t>2021-06 买入，本金100万</t>
        </is>
      </c>
    </row>
    <row r="18" ht="14.5" customHeight="1">
      <c r="A18" s="59" t="inlineStr">
        <is>
          <t>基金及理财</t>
        </is>
      </c>
      <c r="B18" s="59" t="inlineStr">
        <is>
          <t>泰康赢家人生（投连险）</t>
        </is>
      </c>
      <c r="C18" s="100" t="n">
        <v>1</v>
      </c>
      <c r="D18" s="101" t="n">
        <v>844000</v>
      </c>
      <c r="E18" s="44" t="inlineStr">
        <is>
          <t>CNY</t>
        </is>
      </c>
      <c r="F18" s="102" t="n">
        <v>1</v>
      </c>
      <c r="G18" s="103">
        <f>C18*D18*F18</f>
        <v/>
      </c>
      <c r="H18" s="104" t="n">
        <v>800000</v>
      </c>
      <c r="I18" s="103">
        <f>IF(H18="","",G18-H18)</f>
        <v/>
      </c>
      <c r="J18" s="105">
        <f>IFERROR(I18/H18,"")</f>
        <v/>
      </c>
      <c r="K18" s="106">
        <f>IFERROR(G18/$G$35,"")</f>
        <v/>
      </c>
      <c r="L18" s="33" t="inlineStr">
        <is>
          <t>中</t>
        </is>
      </c>
      <c r="M18" s="40" t="inlineStr">
        <is>
          <t>2020-12 买入，本金80万</t>
        </is>
      </c>
    </row>
    <row r="19" ht="14.5" customHeight="1">
      <c r="A19" s="8" t="inlineStr">
        <is>
          <t>基金及理财 小计</t>
        </is>
      </c>
      <c r="B19" s="15" t="inlineStr"/>
      <c r="C19" s="15" t="inlineStr"/>
      <c r="D19" s="15" t="inlineStr"/>
      <c r="E19" s="15" t="inlineStr"/>
      <c r="F19" s="15" t="inlineStr"/>
      <c r="G19" s="107">
        <f>SUM(G17:G18)</f>
        <v/>
      </c>
      <c r="H19" s="107">
        <f>SUM(H17:H18)</f>
        <v/>
      </c>
      <c r="I19" s="107">
        <f>SUM(I17:I18)</f>
        <v/>
      </c>
      <c r="J19" s="108">
        <f>IFERROR(I19/H19,"")</f>
        <v/>
      </c>
      <c r="K19" s="109">
        <f>IFERROR(G19/$G$35,"")</f>
        <v/>
      </c>
      <c r="L19" s="15" t="inlineStr"/>
      <c r="M19" s="15" t="inlineStr"/>
    </row>
    <row r="20" ht="14.5" customHeight="1">
      <c r="A20" s="70" t="inlineStr">
        <is>
          <t>保险(储蓄型)</t>
        </is>
      </c>
      <c r="B20" s="41" t="n"/>
      <c r="C20" s="41" t="n"/>
      <c r="D20" s="41" t="n"/>
      <c r="E20" s="41" t="n"/>
      <c r="F20" s="41" t="n"/>
      <c r="G20" s="41" t="n"/>
      <c r="H20" s="41" t="n"/>
      <c r="I20" s="41" t="n"/>
      <c r="J20" s="41" t="n"/>
      <c r="K20" s="41" t="n"/>
      <c r="L20" s="41" t="n"/>
      <c r="M20" s="42" t="n"/>
    </row>
    <row r="21" ht="26" customHeight="1">
      <c r="A21" s="59" t="inlineStr">
        <is>
          <t>保险(储蓄型)</t>
        </is>
      </c>
      <c r="B21" s="59" t="inlineStr">
        <is>
          <t>中意一生中意（尊享版）终身寿险</t>
        </is>
      </c>
      <c r="C21" s="100" t="n">
        <v>1</v>
      </c>
      <c r="D21" s="101" t="n">
        <v>35603.36</v>
      </c>
      <c r="E21" s="44" t="inlineStr">
        <is>
          <t>CNY</t>
        </is>
      </c>
      <c r="F21" s="102" t="n">
        <v>1</v>
      </c>
      <c r="G21" s="103">
        <f>C21*D21*F21</f>
        <v/>
      </c>
      <c r="H21" s="104" t="n">
        <v>40000</v>
      </c>
      <c r="I21" s="103">
        <f>IF(H21="","",G21-H21)</f>
        <v/>
      </c>
      <c r="J21" s="105">
        <f>IFERROR(I21/H21,"")</f>
        <v/>
      </c>
      <c r="K21" s="106">
        <f>IFERROR(G21/$G$35,"")</f>
        <v/>
      </c>
      <c r="L21" s="33" t="inlineStr">
        <is>
          <t>低</t>
        </is>
      </c>
      <c r="M21" s="40" t="inlineStr">
        <is>
          <t>被保人=杜岩松；2024-10投保；现价为保单年度末值。⚠️受益人为「法定受益人」，建议改为指定受益人</t>
        </is>
      </c>
    </row>
    <row r="22" ht="26" customHeight="1">
      <c r="A22" s="59" t="inlineStr">
        <is>
          <t>保险(储蓄型)</t>
        </is>
      </c>
      <c r="B22" s="59" t="inlineStr">
        <is>
          <t>泰康乐享百岁养老年金保险</t>
        </is>
      </c>
      <c r="C22" s="100" t="n">
        <v>1</v>
      </c>
      <c r="D22" s="101" t="n">
        <v>1862535</v>
      </c>
      <c r="E22" s="44" t="inlineStr">
        <is>
          <t>CNY</t>
        </is>
      </c>
      <c r="F22" s="102" t="n">
        <v>1</v>
      </c>
      <c r="G22" s="103">
        <f>C22*D22*F22</f>
        <v/>
      </c>
      <c r="H22" s="104" t="n">
        <v>3012480</v>
      </c>
      <c r="I22" s="103">
        <f>IF(H22="","",G22-H22)</f>
        <v/>
      </c>
      <c r="J22" s="105">
        <f>IFERROR(I22/H22,"")</f>
        <v/>
      </c>
      <c r="K22" s="106">
        <f>IFERROR(G22/$G$35,"")</f>
        <v/>
      </c>
      <c r="L22" s="33" t="inlineStr">
        <is>
          <t>低</t>
        </is>
      </c>
      <c r="M22" s="40" t="inlineStr">
        <is>
          <t>被保人=杜岩松；60岁起月领1.5万／年领177,990元，保证给付25年；60岁后身故金为0；现价自60岁起递减至84岁归零</t>
        </is>
      </c>
    </row>
    <row r="23" ht="26" customHeight="1">
      <c r="A23" s="59" t="inlineStr">
        <is>
          <t>保险(储蓄型)</t>
        </is>
      </c>
      <c r="B23" s="59" t="inlineStr">
        <is>
          <t>陆家嘴国泰金管家2.0（万能型）</t>
        </is>
      </c>
      <c r="C23" s="100" t="n">
        <v>1</v>
      </c>
      <c r="D23" s="101" t="n">
        <v>1000</v>
      </c>
      <c r="E23" s="44" t="inlineStr">
        <is>
          <t>CNY</t>
        </is>
      </c>
      <c r="F23" s="102" t="n">
        <v>1</v>
      </c>
      <c r="G23" s="103">
        <f>C23*D23*F23</f>
        <v/>
      </c>
      <c r="H23" s="104" t="n">
        <v>1000</v>
      </c>
      <c r="I23" s="103">
        <f>IF(H23="","",G23-H23)</f>
        <v/>
      </c>
      <c r="J23" s="105">
        <f>IFERROR(I23/H23,"")</f>
        <v/>
      </c>
      <c r="K23" s="106">
        <f>IFERROR(G23/$G$35,"")</f>
        <v/>
      </c>
      <c r="L23" s="33" t="inlineStr">
        <is>
          <t>低</t>
        </is>
      </c>
      <c r="M23" s="40" t="inlineStr">
        <is>
          <t>被保人=杜汐姮；趸交1000元；最低保证利率2%。★若另有「泰康乐赢1号」万能账户请在此行补充金额</t>
        </is>
      </c>
    </row>
    <row r="24" ht="14.5" customHeight="1">
      <c r="A24" s="8" t="inlineStr">
        <is>
          <t>保险(储蓄型) 小计</t>
        </is>
      </c>
      <c r="B24" s="15" t="inlineStr"/>
      <c r="C24" s="15" t="inlineStr"/>
      <c r="D24" s="15" t="inlineStr"/>
      <c r="E24" s="15" t="inlineStr"/>
      <c r="F24" s="15" t="inlineStr"/>
      <c r="G24" s="107">
        <f>SUM(G21:G23)</f>
        <v/>
      </c>
      <c r="H24" s="107">
        <f>SUM(H21:H23)</f>
        <v/>
      </c>
      <c r="I24" s="107">
        <f>SUM(I21:I23)</f>
        <v/>
      </c>
      <c r="J24" s="108">
        <f>IFERROR(I24/H24,"")</f>
        <v/>
      </c>
      <c r="K24" s="109">
        <f>IFERROR(G24/$G$35,"")</f>
        <v/>
      </c>
      <c r="L24" s="15" t="inlineStr"/>
      <c r="M24" s="15" t="inlineStr"/>
    </row>
    <row r="25" ht="14.5" customHeight="1">
      <c r="A25" s="76" t="inlineStr">
        <is>
          <t>保险(教育金专项)</t>
        </is>
      </c>
      <c r="B25" s="41" t="n"/>
      <c r="C25" s="41" t="n"/>
      <c r="D25" s="41" t="n"/>
      <c r="E25" s="41" t="n"/>
      <c r="F25" s="41" t="n"/>
      <c r="G25" s="41" t="n"/>
      <c r="H25" s="41" t="n"/>
      <c r="I25" s="41" t="n"/>
      <c r="J25" s="41" t="n"/>
      <c r="K25" s="41" t="n"/>
      <c r="L25" s="41" t="n"/>
      <c r="M25" s="42" t="n"/>
    </row>
    <row r="26" ht="39" customHeight="1">
      <c r="A26" s="77" t="inlineStr">
        <is>
          <t>保险(教育金专项)</t>
        </is>
      </c>
      <c r="B26" s="77" t="inlineStr">
        <is>
          <t>陆家嘴国泰恒泰尊享3.0版</t>
        </is>
      </c>
      <c r="C26" s="100" t="n">
        <v>1</v>
      </c>
      <c r="D26" s="101" t="n">
        <v>1600567.28</v>
      </c>
      <c r="E26" s="44" t="inlineStr">
        <is>
          <t>CNY</t>
        </is>
      </c>
      <c r="F26" s="102" t="n">
        <v>1</v>
      </c>
      <c r="G26" s="103">
        <f>C26*D26*F26</f>
        <v/>
      </c>
      <c r="H26" s="104" t="n">
        <v>2000000</v>
      </c>
      <c r="I26" s="103">
        <f>IF(H26="","",G26-H26)</f>
        <v/>
      </c>
      <c r="J26" s="105">
        <f>IFERROR(I26/H26,"")</f>
        <v/>
      </c>
      <c r="K26" s="106">
        <f>IFERROR(G26/$G$35,"")</f>
        <v/>
      </c>
      <c r="L26" s="33" t="inlineStr">
        <is>
          <t>低</t>
        </is>
      </c>
      <c r="M26" s="40" t="inlineStr">
        <is>
          <t>★教育金专项：用于女儿18-22岁大学四年；被保人=杜汐姮／投保人(现价归属人)=杜岩松；每年减保≤保单年度初基本保额的20%(条款11.2)；有效保额3%/年递增</t>
        </is>
      </c>
    </row>
    <row r="27" ht="14.5" customHeight="1">
      <c r="A27" s="8" t="inlineStr">
        <is>
          <t>保险(教育金专项) 小计</t>
        </is>
      </c>
      <c r="B27" s="15" t="inlineStr"/>
      <c r="C27" s="15" t="inlineStr"/>
      <c r="D27" s="15" t="inlineStr"/>
      <c r="E27" s="15" t="inlineStr"/>
      <c r="F27" s="15" t="inlineStr"/>
      <c r="G27" s="107">
        <f>SUM(G26:G26)</f>
        <v/>
      </c>
      <c r="H27" s="107">
        <f>SUM(H26:H26)</f>
        <v/>
      </c>
      <c r="I27" s="107">
        <f>SUM(I26:I26)</f>
        <v/>
      </c>
      <c r="J27" s="108">
        <f>IFERROR(I27/H27,"")</f>
        <v/>
      </c>
      <c r="K27" s="109">
        <f>IFERROR(G27/$G$35,"")</f>
        <v/>
      </c>
      <c r="L27" s="15" t="inlineStr"/>
      <c r="M27" s="15" t="inlineStr"/>
    </row>
    <row r="28" ht="14.5" customHeight="1">
      <c r="A28" s="70" t="inlineStr">
        <is>
          <t>房产（自用＋投资性房地产）</t>
        </is>
      </c>
      <c r="B28" s="41" t="n"/>
      <c r="C28" s="41" t="n"/>
      <c r="D28" s="41" t="n"/>
      <c r="E28" s="41" t="n"/>
      <c r="F28" s="41" t="n"/>
      <c r="G28" s="41" t="n"/>
      <c r="H28" s="41" t="n"/>
      <c r="I28" s="41" t="n"/>
      <c r="J28" s="41" t="n"/>
      <c r="K28" s="41" t="n"/>
      <c r="L28" s="41" t="n"/>
      <c r="M28" s="42" t="n"/>
    </row>
    <row r="29" ht="14.5" customHeight="1">
      <c r="A29" s="59" t="inlineStr">
        <is>
          <t>房产(自用)</t>
        </is>
      </c>
      <c r="B29" s="59" t="inlineStr">
        <is>
          <t>深圳城市山林（自住）</t>
        </is>
      </c>
      <c r="C29" s="100" t="n">
        <v>1</v>
      </c>
      <c r="D29" s="101" t="n">
        <v>10000000</v>
      </c>
      <c r="E29" s="44" t="inlineStr">
        <is>
          <t>CNY</t>
        </is>
      </c>
      <c r="F29" s="102" t="n">
        <v>1</v>
      </c>
      <c r="G29" s="103">
        <f>C29*D29*F29</f>
        <v/>
      </c>
      <c r="H29" s="104" t="n"/>
      <c r="I29" s="103">
        <f>IF(H29="","",G29-H29)</f>
        <v/>
      </c>
      <c r="J29" s="105">
        <f>IFERROR(I29/H29,"")</f>
        <v/>
      </c>
      <c r="K29" s="106">
        <f>IFERROR(G29/$G$35,"")</f>
        <v/>
      </c>
      <c r="L29" s="33" t="inlineStr">
        <is>
          <t>极低（自用）</t>
        </is>
      </c>
      <c r="M29" s="40" t="inlineStr">
        <is>
          <t>自用住宅，不出售；估值约1,000万；抵押贷款余额200万见下方负债区</t>
        </is>
      </c>
    </row>
    <row r="30" ht="14.5" customHeight="1">
      <c r="A30" s="59" t="inlineStr">
        <is>
          <t>投资性房地产(待售)</t>
        </is>
      </c>
      <c r="B30" s="59" t="inlineStr">
        <is>
          <t>深圳龙岗区恒大城市之光</t>
        </is>
      </c>
      <c r="C30" s="100" t="n">
        <v>1</v>
      </c>
      <c r="D30" s="101" t="n">
        <v>1800000</v>
      </c>
      <c r="E30" s="44" t="inlineStr">
        <is>
          <t>CNY</t>
        </is>
      </c>
      <c r="F30" s="102" t="n">
        <v>1</v>
      </c>
      <c r="G30" s="103">
        <f>C30*D30*F30</f>
        <v/>
      </c>
      <c r="H30" s="104" t="n"/>
      <c r="I30" s="103">
        <f>IF(H30="","",G30-H30)</f>
        <v/>
      </c>
      <c r="J30" s="105">
        <f>IFERROR(I30/H30,"")</f>
        <v/>
      </c>
      <c r="K30" s="106">
        <f>IFERROR(G30/$G$35,"")</f>
        <v/>
      </c>
      <c r="L30" s="33" t="inlineStr">
        <is>
          <t>中低（待售）</t>
        </is>
      </c>
      <c r="M30" s="40" t="inlineStr">
        <is>
          <t>★投资性房地产（深圳龙岗·恒大城市之光），计划尽快出售；变现后转入可投资资产</t>
        </is>
      </c>
    </row>
    <row r="31" ht="14.5" customHeight="1">
      <c r="A31" s="59" t="inlineStr">
        <is>
          <t>投资性房地产(待售)</t>
        </is>
      </c>
      <c r="B31" s="59" t="inlineStr">
        <is>
          <t>廊坊固安泊心园</t>
        </is>
      </c>
      <c r="C31" s="100" t="n">
        <v>1</v>
      </c>
      <c r="D31" s="101" t="n">
        <v>850000</v>
      </c>
      <c r="E31" s="44" t="inlineStr">
        <is>
          <t>CNY</t>
        </is>
      </c>
      <c r="F31" s="102" t="n">
        <v>1</v>
      </c>
      <c r="G31" s="103">
        <f>C31*D31*F31</f>
        <v/>
      </c>
      <c r="H31" s="104" t="n"/>
      <c r="I31" s="103">
        <f>IF(H31="","",G31-H31)</f>
        <v/>
      </c>
      <c r="J31" s="105">
        <f>IFERROR(I31/H31,"")</f>
        <v/>
      </c>
      <c r="K31" s="106">
        <f>IFERROR(G31/$G$35,"")</f>
        <v/>
      </c>
      <c r="L31" s="33" t="inlineStr">
        <is>
          <t>中低（待售）</t>
        </is>
      </c>
      <c r="M31" s="40" t="inlineStr">
        <is>
          <t>★投资性房地产（廊坊固安·泊心园），计划尽快出售；变现后转入可投资资产</t>
        </is>
      </c>
    </row>
    <row r="32" ht="14.5" customHeight="1">
      <c r="A32" s="59" t="inlineStr">
        <is>
          <t>投资性房地产(待售)</t>
        </is>
      </c>
      <c r="B32" s="59" t="inlineStr">
        <is>
          <t>廊坊空港孔雀城领航城</t>
        </is>
      </c>
      <c r="C32" s="100" t="n">
        <v>1</v>
      </c>
      <c r="D32" s="101" t="n">
        <v>500000</v>
      </c>
      <c r="E32" s="44" t="inlineStr">
        <is>
          <t>CNY</t>
        </is>
      </c>
      <c r="F32" s="102" t="n">
        <v>1</v>
      </c>
      <c r="G32" s="103">
        <f>C32*D32*F32</f>
        <v/>
      </c>
      <c r="H32" s="104" t="n"/>
      <c r="I32" s="103">
        <f>IF(H32="","",G32-H32)</f>
        <v/>
      </c>
      <c r="J32" s="105">
        <f>IFERROR(I32/H32,"")</f>
        <v/>
      </c>
      <c r="K32" s="106">
        <f>IFERROR(G32/$G$35,"")</f>
        <v/>
      </c>
      <c r="L32" s="33" t="inlineStr">
        <is>
          <t>中低（待售）</t>
        </is>
      </c>
      <c r="M32" s="40" t="inlineStr">
        <is>
          <t>★投资性房地产（廊坊空港·孔雀城领航城），计划尽快出售；变现后转入可投资资产</t>
        </is>
      </c>
    </row>
    <row r="33" ht="14.5" customHeight="1">
      <c r="A33" s="8" t="inlineStr">
        <is>
          <t>房产合计</t>
        </is>
      </c>
      <c r="B33" s="15" t="n"/>
      <c r="C33" s="15" t="n"/>
      <c r="D33" s="15" t="n"/>
      <c r="E33" s="15" t="n"/>
      <c r="F33" s="15" t="n"/>
      <c r="G33" s="107">
        <f>SUM(G29:G32)</f>
        <v/>
      </c>
      <c r="H33" s="107">
        <f>SUM(H29:H32)</f>
        <v/>
      </c>
      <c r="I33" s="107">
        <f>SUM(I29:I32)</f>
        <v/>
      </c>
      <c r="J33" s="108">
        <f>IFERROR(I33/H33,"")</f>
        <v/>
      </c>
      <c r="K33" s="109">
        <f>IFERROR(G33/$G$35,"")</f>
        <v/>
      </c>
      <c r="L33" s="15" t="n"/>
      <c r="M33" s="15" t="inlineStr">
        <is>
          <t>自用 1,000 万 ＋ 投资性房地产（待售）315 万＝1,315 万；投资房计划尽快出售，变现后并入可投资资产</t>
        </is>
      </c>
    </row>
    <row r="35" ht="27" customHeight="1">
      <c r="A35" s="78" t="inlineStr">
        <is>
          <t>资产合计</t>
        </is>
      </c>
      <c r="B35" s="61" t="inlineStr"/>
      <c r="C35" s="61" t="inlineStr"/>
      <c r="D35" s="61" t="inlineStr"/>
      <c r="E35" s="61" t="inlineStr"/>
      <c r="F35" s="61" t="inlineStr"/>
      <c r="G35" s="92">
        <f>G8+G15+G19+G24+G27+G33</f>
        <v/>
      </c>
      <c r="H35" s="92">
        <f>H8+H15+H19+H24+H27+H33</f>
        <v/>
      </c>
      <c r="I35" s="92">
        <f>I8+I15+I19+I24+I27+I33</f>
        <v/>
      </c>
      <c r="J35" s="93">
        <f>IFERROR(I35/H35,"")</f>
        <v/>
      </c>
      <c r="K35" s="93">
        <f>1</f>
        <v/>
      </c>
      <c r="L35" s="61" t="inlineStr"/>
      <c r="M35" s="80" t="inlineStr">
        <is>
          <t>占总资产100%；盈亏仅含已填写成本的项目（阿里持仓成本待补充）</t>
        </is>
      </c>
    </row>
    <row r="37" ht="14.5" customHeight="1">
      <c r="A37" s="70" t="inlineStr">
        <is>
          <t>负债</t>
        </is>
      </c>
      <c r="B37" s="41" t="n"/>
      <c r="C37" s="41" t="n"/>
      <c r="D37" s="41" t="n"/>
      <c r="E37" s="41" t="n"/>
      <c r="F37" s="41" t="n"/>
      <c r="G37" s="41" t="n"/>
      <c r="H37" s="41" t="n"/>
      <c r="I37" s="41" t="n"/>
      <c r="J37" s="41" t="n"/>
      <c r="K37" s="41" t="n"/>
      <c r="L37" s="41" t="n"/>
      <c r="M37" s="42" t="n"/>
    </row>
    <row r="38" ht="14.5" customHeight="1">
      <c r="A38" s="59" t="inlineStr">
        <is>
          <t>负债</t>
        </is>
      </c>
      <c r="B38" s="59" t="inlineStr">
        <is>
          <t>住房贷款余额</t>
        </is>
      </c>
      <c r="C38" s="100" t="n">
        <v>1</v>
      </c>
      <c r="D38" s="101" t="n">
        <v>2000000</v>
      </c>
      <c r="E38" s="44" t="inlineStr">
        <is>
          <t>CNY</t>
        </is>
      </c>
      <c r="F38" s="102" t="n">
        <v>1</v>
      </c>
      <c r="G38" s="103">
        <f>C38*D38*F38</f>
        <v/>
      </c>
      <c r="H38" s="110" t="inlineStr"/>
      <c r="I38" s="111" t="inlineStr"/>
      <c r="J38" s="106" t="inlineStr"/>
      <c r="K38" s="106" t="inlineStr"/>
      <c r="L38" s="33" t="inlineStr"/>
      <c r="M38" s="40" t="inlineStr">
        <is>
          <t>深圳城市山林（自住）抵押贷款余额约200万，请按实际剩余额度更新</t>
        </is>
      </c>
    </row>
    <row r="39" ht="14.5" customHeight="1">
      <c r="A39" s="59" t="inlineStr">
        <is>
          <t>负债</t>
        </is>
      </c>
      <c r="B39" s="59" t="inlineStr">
        <is>
          <t>其他负债</t>
        </is>
      </c>
      <c r="C39" s="100" t="n">
        <v>1</v>
      </c>
      <c r="D39" s="101" t="n">
        <v>0</v>
      </c>
      <c r="E39" s="44" t="inlineStr">
        <is>
          <t>CNY</t>
        </is>
      </c>
      <c r="F39" s="102" t="n">
        <v>1</v>
      </c>
      <c r="G39" s="103">
        <f>C39*D39*F39</f>
        <v/>
      </c>
      <c r="H39" s="110" t="inlineStr"/>
      <c r="I39" s="111" t="inlineStr"/>
      <c r="J39" s="106" t="inlineStr"/>
      <c r="K39" s="106" t="inlineStr"/>
      <c r="L39" s="33" t="inlineStr"/>
      <c r="M39" s="40" t="inlineStr">
        <is>
          <t>如有负债请填写余额（正数）</t>
        </is>
      </c>
    </row>
    <row r="40" ht="14.5" customHeight="1">
      <c r="A40" s="78" t="inlineStr">
        <is>
          <t>负债合计</t>
        </is>
      </c>
      <c r="B40" s="61" t="inlineStr"/>
      <c r="C40" s="61" t="inlineStr"/>
      <c r="D40" s="61" t="inlineStr"/>
      <c r="E40" s="61" t="inlineStr"/>
      <c r="F40" s="61" t="inlineStr"/>
      <c r="G40" s="92">
        <f>SUM(G38:G39)</f>
        <v/>
      </c>
      <c r="H40" s="61" t="inlineStr"/>
      <c r="I40" s="61" t="inlineStr"/>
      <c r="J40" s="61" t="inlineStr"/>
      <c r="K40" s="61" t="inlineStr"/>
      <c r="L40" s="61" t="inlineStr"/>
      <c r="M40" s="61" t="inlineStr"/>
    </row>
    <row r="41" ht="14.5" customHeight="1">
      <c r="A41" s="81" t="inlineStr">
        <is>
          <t>净资产</t>
        </is>
      </c>
      <c r="B41" s="61" t="inlineStr"/>
      <c r="C41" s="61" t="inlineStr"/>
      <c r="D41" s="61" t="inlineStr"/>
      <c r="E41" s="61" t="inlineStr"/>
      <c r="F41" s="61" t="inlineStr"/>
      <c r="G41" s="94">
        <f>G35-G40</f>
        <v/>
      </c>
      <c r="H41" s="61" t="inlineStr"/>
      <c r="I41" s="61" t="inlineStr"/>
      <c r="J41" s="61" t="inlineStr"/>
      <c r="K41" s="61" t="inlineStr"/>
      <c r="L41" s="61" t="inlineStr"/>
      <c r="M41" s="61" t="inlineStr">
        <is>
          <t>＝资产合计－负债合计</t>
        </is>
      </c>
    </row>
    <row r="43" ht="20" customHeight="1">
      <c r="A43" s="3" t="inlineStr">
        <is>
          <t>辅助指标（口径提示，供 FIRE 测算与看板引用）</t>
        </is>
      </c>
    </row>
    <row r="44" ht="14.5" customHeight="1">
      <c r="A44" s="8" t="inlineStr">
        <is>
          <t>可投资资产（不含任何保险）</t>
        </is>
      </c>
      <c r="B44" s="41" t="n"/>
      <c r="C44" s="41" t="n"/>
      <c r="D44" s="41" t="n"/>
      <c r="E44" s="41" t="n"/>
      <c r="F44" s="42" t="n"/>
      <c r="G44" s="112">
        <f>G8+G15+G19</f>
        <v/>
      </c>
      <c r="H44" s="11" t="inlineStr">
        <is>
          <t>现金＋股票＋基金，是 FIRE 的核心口径</t>
        </is>
      </c>
      <c r="I44" s="41" t="n"/>
      <c r="J44" s="41" t="n"/>
      <c r="K44" s="41" t="n"/>
      <c r="L44" s="41" t="n"/>
      <c r="M44" s="42" t="n"/>
    </row>
    <row r="45" ht="14.5" customHeight="1">
      <c r="A45" s="8" t="inlineStr">
        <is>
          <t>可立即变现资产（估算）</t>
        </is>
      </c>
      <c r="B45" s="41" t="n"/>
      <c r="C45" s="41" t="n"/>
      <c r="D45" s="41" t="n"/>
      <c r="E45" s="41" t="n"/>
      <c r="F45" s="42" t="n"/>
      <c r="G45" s="112">
        <f>G8+G15*0.95+G19*0.8+G24*0.8</f>
        <v/>
      </c>
      <c r="H45" s="11" t="inlineStr">
        <is>
          <t>现金100%＋公开股票95%＋私募/投连80%＋储蓄型保单现价80%（保单贷款上限）</t>
        </is>
      </c>
      <c r="I45" s="41" t="n"/>
      <c r="J45" s="41" t="n"/>
      <c r="K45" s="41" t="n"/>
      <c r="L45" s="41" t="n"/>
      <c r="M45" s="42" t="n"/>
    </row>
    <row r="46" ht="14.5" customHeight="1">
      <c r="A46" s="8" t="inlineStr">
        <is>
          <t>教育金专项（恒泰尊享现价）</t>
        </is>
      </c>
      <c r="B46" s="41" t="n"/>
      <c r="C46" s="41" t="n"/>
      <c r="D46" s="41" t="n"/>
      <c r="E46" s="41" t="n"/>
      <c r="F46" s="42" t="n"/>
      <c r="G46" s="112">
        <f>G27</f>
        <v/>
      </c>
      <c r="H46" s="11" t="inlineStr">
        <is>
          <t>★已指定用途（女儿大学四年），不计入 FIRE 可投资资产</t>
        </is>
      </c>
      <c r="I46" s="41" t="n"/>
      <c r="J46" s="41" t="n"/>
      <c r="K46" s="41" t="n"/>
      <c r="L46" s="41" t="n"/>
      <c r="M46" s="42" t="n"/>
    </row>
    <row r="47" ht="14.5" customHeight="1">
      <c r="A47" s="8" t="inlineStr">
        <is>
          <t>保险立即退保损失</t>
        </is>
      </c>
      <c r="B47" s="41" t="n"/>
      <c r="C47" s="41" t="n"/>
      <c r="D47" s="41" t="n"/>
      <c r="E47" s="41" t="n"/>
      <c r="F47" s="42" t="n"/>
      <c r="G47" s="112">
        <f>(H24+H27)-(G24+G27)</f>
        <v/>
      </c>
      <c r="H47" s="11" t="inlineStr">
        <is>
          <t>＝现价－累计已交保费；反映保险资产的锁定成本，不是投资亏损</t>
        </is>
      </c>
      <c r="I47" s="41" t="n"/>
      <c r="J47" s="41" t="n"/>
      <c r="K47" s="41" t="n"/>
      <c r="L47" s="41" t="n"/>
      <c r="M47" s="42" t="n"/>
    </row>
    <row r="48" ht="14.5" customHeight="1">
      <c r="A48" s="8" t="inlineStr">
        <is>
          <t>公开股票集中度</t>
        </is>
      </c>
      <c r="B48" s="41" t="n"/>
      <c r="C48" s="41" t="n"/>
      <c r="D48" s="41" t="n"/>
      <c r="E48" s="41" t="n"/>
      <c r="F48" s="42" t="n"/>
      <c r="G48" s="91">
        <f>IFERROR(G15/(G8+G15+G19),"")</f>
        <v/>
      </c>
      <c r="H48" s="11" t="inlineStr">
        <is>
          <t>★单一权益敞口占比，超过 60% 需关注集中度风险</t>
        </is>
      </c>
      <c r="I48" s="41" t="n"/>
      <c r="J48" s="41" t="n"/>
      <c r="K48" s="41" t="n"/>
      <c r="L48" s="41" t="n"/>
      <c r="M48" s="42" t="n"/>
    </row>
    <row r="49" ht="14.5" customHeight="1">
      <c r="A49" s="8" t="inlineStr">
        <is>
          <t>现金可覆盖年数</t>
        </is>
      </c>
      <c r="B49" s="41" t="n"/>
      <c r="C49" s="41" t="n"/>
      <c r="D49" s="41" t="n"/>
      <c r="E49" s="41" t="n"/>
      <c r="F49" s="42" t="n"/>
      <c r="G49" s="41">
        <f>IFERROR(G8/FIRE年支出,"")</f>
        <v/>
      </c>
      <c r="H49" s="42" t="inlineStr">
        <is>
          <t>＝现金及存款 ÷ 年支出（年支出为定义名称，取自「FIRE测算」）</t>
        </is>
      </c>
      <c r="I49" s="41" t="n"/>
      <c r="J49" s="41" t="n"/>
      <c r="K49" s="41" t="n"/>
      <c r="L49" s="41" t="n"/>
      <c r="M49" s="42" t="n"/>
    </row>
    <row r="50" ht="14.5" customHeight="1">
      <c r="A50" s="8" t="inlineStr">
        <is>
          <t>投资性房地产（待售）</t>
        </is>
      </c>
      <c r="B50" s="41" t="n"/>
      <c r="C50" s="41" t="n"/>
      <c r="D50" s="41" t="n"/>
      <c r="E50" s="41" t="n"/>
      <c r="F50" s="42" t="n"/>
      <c r="G50" s="112">
        <f>SUM(G30:G32)</f>
        <v/>
      </c>
      <c r="H50" s="11" t="inlineStr">
        <is>
          <t>3 套投资房：深圳恒大之光 180 万／固安泊心园 85 万／空港领航城 50 万；计划尽快出售，非流动性资产</t>
        </is>
      </c>
      <c r="I50" s="41" t="n"/>
      <c r="J50" s="41" t="n"/>
      <c r="K50" s="41" t="n"/>
      <c r="L50" s="41" t="n"/>
      <c r="M50" s="42" t="n"/>
    </row>
    <row r="51" ht="14.5" customHeight="1">
      <c r="A51" s="8" t="inlineStr">
        <is>
          <t>可动用资产（可投资资产＋待售投资房）</t>
        </is>
      </c>
      <c r="B51" s="41" t="n"/>
      <c r="C51" s="41" t="n"/>
      <c r="D51" s="41" t="n"/>
      <c r="E51" s="41" t="n"/>
      <c r="F51" s="42" t="n"/>
      <c r="G51" s="112">
        <f>G44+G50</f>
        <v/>
      </c>
      <c r="H51" s="11" t="inlineStr">
        <is>
          <t>待售房产变现后并入「可投资资产」；FIRE 评估仍以「可投资资产」为准（房产变现存在折价与时间成本）</t>
        </is>
      </c>
      <c r="I51" s="41" t="n"/>
      <c r="J51" s="41" t="n"/>
      <c r="K51" s="41" t="n"/>
      <c r="L51" s="41" t="n"/>
      <c r="M51" s="42" t="n"/>
    </row>
  </sheetData>
  <mergeCells count="26">
    <mergeCell ref="H49:M49"/>
    <mergeCell ref="H46:M46"/>
    <mergeCell ref="H51:M51"/>
    <mergeCell ref="A5:M5"/>
    <mergeCell ref="A46:F46"/>
    <mergeCell ref="A50:F50"/>
    <mergeCell ref="A20:M20"/>
    <mergeCell ref="A43:M43"/>
    <mergeCell ref="A28:M28"/>
    <mergeCell ref="H45:M45"/>
    <mergeCell ref="A47:F47"/>
    <mergeCell ref="A9:M9"/>
    <mergeCell ref="H47:M47"/>
    <mergeCell ref="H48:M48"/>
    <mergeCell ref="A1:M1"/>
    <mergeCell ref="A44:F44"/>
    <mergeCell ref="A48:F48"/>
    <mergeCell ref="A25:M25"/>
    <mergeCell ref="A16:M16"/>
    <mergeCell ref="A49:F49"/>
    <mergeCell ref="A51:F51"/>
    <mergeCell ref="A37:M37"/>
    <mergeCell ref="A45:F45"/>
    <mergeCell ref="H50:M50"/>
    <mergeCell ref="H44:M44"/>
    <mergeCell ref="A2:M2"/>
  </mergeCells>
  <dataValidations count="2">
    <dataValidation sqref="E6:E7 E10:E12 E15:E16 E19:E21 E24 E30:E31" showDropDown="0" showInputMessage="0" showErrorMessage="0" allowBlank="1" type="list">
      <formula1>"CNY,HKD,USD"</formula1>
    </dataValidation>
    <dataValidation sqref="L6:L7 L10:L12 L15:L16 L19:L21 L24" showDropDown="0" showInputMessage="0" showErrorMessage="0" allowBlank="1" type="list">
      <formula1>"高,中,低"</formula1>
    </dataValidation>
  </dataValidations>
  <pageMargins left="0.75" right="0.75" top="1" bottom="1" header="0.5" footer="0.5"/>
</worksheet>
</file>

<file path=xl/worksheets/sheet3.xml><?xml version="1.0" encoding="utf-8"?>
<worksheet xmlns="http://schemas.openxmlformats.org/spreadsheetml/2006/main">
  <sheetPr>
    <tabColor rgb="FF7030A0"/>
    <outlinePr summaryBelow="1" summaryRight="1"/>
    <pageSetUpPr/>
  </sheetPr>
  <dimension ref="A1:N62"/>
  <sheetViews>
    <sheetView workbookViewId="0">
      <pane ySplit="5" topLeftCell="A13" activePane="bottomLeft" state="frozen"/>
      <selection activeCell="A1" sqref="A1"/>
      <selection pane="bottomLeft" activeCell="A1" sqref="A1:N1"/>
    </sheetView>
  </sheetViews>
  <sheetFormatPr baseColWidth="8" defaultColWidth="9" defaultRowHeight="14"/>
  <cols>
    <col width="6" customWidth="1" min="1" max="1"/>
    <col width="12" customWidth="1" min="2" max="2"/>
    <col width="14" customWidth="1" min="3" max="3"/>
    <col width="16" customWidth="1" min="4" max="4"/>
    <col width="28" customWidth="1" min="5" max="5"/>
    <col width="12" customWidth="1" min="6" max="6"/>
    <col width="14" customWidth="1" min="7" max="7"/>
    <col width="12" customWidth="1" min="8" max="8"/>
    <col width="14" customWidth="1" min="9" max="12"/>
    <col width="16" customWidth="1" min="13" max="13"/>
    <col width="60" customWidth="1" min="14" max="14"/>
  </cols>
  <sheetData>
    <row r="1" ht="26" customHeight="1">
      <c r="A1" s="1" t="inlineStr">
        <is>
          <t>人寿保险权益与现金流分析表</t>
        </is>
      </c>
    </row>
    <row r="2" ht="16" customHeight="1">
      <c r="A2" s="2" t="inlineStr">
        <is>
          <t>数据来源：明亚保险经纪《杜岩松家庭保障分析报告》2026-09-13 ＋ 三份保险条款 ｜ 金额单位：人民币元 ｜ 蓝色＝手工输入</t>
        </is>
      </c>
    </row>
    <row r="4" ht="20" customHeight="1">
      <c r="A4" s="3" t="inlineStr">
        <is>
          <t>一、保单台账（4 张保单）</t>
        </is>
      </c>
    </row>
    <row r="5" ht="30" customHeight="1">
      <c r="A5" s="7" t="inlineStr">
        <is>
          <t>序号</t>
        </is>
      </c>
      <c r="B5" s="7" t="inlineStr">
        <is>
          <t>被保人</t>
        </is>
      </c>
      <c r="C5" s="7" t="inlineStr">
        <is>
          <t>投保人／现价归属人</t>
        </is>
      </c>
      <c r="D5" s="7" t="inlineStr">
        <is>
          <t>保险公司</t>
        </is>
      </c>
      <c r="E5" s="7" t="inlineStr">
        <is>
          <t>产品名称</t>
        </is>
      </c>
      <c r="F5" s="7" t="inlineStr">
        <is>
          <t>险种</t>
        </is>
      </c>
      <c r="G5" s="7" t="inlineStr">
        <is>
          <t>保单号</t>
        </is>
      </c>
      <c r="H5" s="7" t="inlineStr">
        <is>
          <t>生效日</t>
        </is>
      </c>
      <c r="I5" s="7" t="inlineStr">
        <is>
          <t>基本保额</t>
        </is>
      </c>
      <c r="J5" s="7" t="inlineStr">
        <is>
          <t>累计已交保费</t>
        </is>
      </c>
      <c r="K5" s="7" t="inlineStr">
        <is>
          <t>当前现金价值</t>
        </is>
      </c>
      <c r="L5" s="7" t="inlineStr">
        <is>
          <t>身故受益人</t>
        </is>
      </c>
      <c r="M5" s="7" t="inlineStr">
        <is>
          <t>保值/领取要点</t>
        </is>
      </c>
      <c r="N5" s="7" t="inlineStr">
        <is>
          <t>关键条款与风险提示</t>
        </is>
      </c>
    </row>
    <row r="6" ht="80" customHeight="1">
      <c r="A6" s="33" t="n">
        <v>1</v>
      </c>
      <c r="B6" s="33" t="inlineStr">
        <is>
          <t>杜岩松</t>
        </is>
      </c>
      <c r="C6" s="45" t="inlineStr">
        <is>
          <t>杜岩松</t>
        </is>
      </c>
      <c r="D6" s="59" t="inlineStr">
        <is>
          <t>中意人寿</t>
        </is>
      </c>
      <c r="E6" s="60" t="inlineStr">
        <is>
          <t>中意一生中意（尊享版）终身寿险</t>
        </is>
      </c>
      <c r="F6" s="33" t="inlineStr">
        <is>
          <t>增额终身寿(分红)</t>
        </is>
      </c>
      <c r="G6" s="33" t="inlineStr">
        <is>
          <t>88123297</t>
        </is>
      </c>
      <c r="H6" s="33" t="inlineStr">
        <is>
          <t>2024-10-31</t>
        </is>
      </c>
      <c r="I6" s="110" t="n">
        <v>33240</v>
      </c>
      <c r="J6" s="110" t="n">
        <v>40000</v>
      </c>
      <c r="K6" s="110" t="n">
        <v>35603.36</v>
      </c>
      <c r="L6" s="44" t="inlineStr">
        <is>
          <t>⚠️法定受益人</t>
        </is>
      </c>
      <c r="M6" s="60" t="inlineStr">
        <is>
          <t>有效保额 2%/年 递增</t>
        </is>
      </c>
      <c r="N6" s="60" t="inlineStr">
        <is>
          <t>① 受益人为「法定受益人」，建议改为【指定受益人】，避免理赔纠纷与债务隐患；② 分红不保证；③ 含年金转换权；④ 保证现价 CAGR 仅约 1.9%</t>
        </is>
      </c>
    </row>
    <row r="7" ht="80" customHeight="1">
      <c r="A7" s="33" t="n">
        <v>2</v>
      </c>
      <c r="B7" s="33" t="inlineStr">
        <is>
          <t>杜岩松</t>
        </is>
      </c>
      <c r="C7" s="45" t="inlineStr">
        <is>
          <t>杜岩松</t>
        </is>
      </c>
      <c r="D7" s="59" t="inlineStr">
        <is>
          <t>泰康人寿</t>
        </is>
      </c>
      <c r="E7" s="60" t="inlineStr">
        <is>
          <t>泰康乐享百岁养老年金保险（分红型）</t>
        </is>
      </c>
      <c r="F7" s="33" t="inlineStr">
        <is>
          <t>养老年金</t>
        </is>
      </c>
      <c r="G7" s="33" t="inlineStr">
        <is>
          <t>19162486</t>
        </is>
      </c>
      <c r="H7" s="33" t="inlineStr">
        <is>
          <t>2023-12-14</t>
        </is>
      </c>
      <c r="I7" s="110" t="n">
        <v>15000</v>
      </c>
      <c r="J7" s="110" t="n">
        <v>3012480</v>
      </c>
      <c r="K7" s="110" t="n">
        <v>1862535</v>
      </c>
      <c r="L7" s="44" t="inlineStr">
        <is>
          <t>杜汐姮 100%</t>
        </is>
      </c>
      <c r="M7" s="60" t="inlineStr">
        <is>
          <t>60岁起月领 15,000 元</t>
        </is>
      </c>
      <c r="N7" s="60" t="inlineStr">
        <is>
          <t>① 年领＝基本保额×11.866＝177,990 元/年；② 保证给付期 25 个保单年度（60→84岁），期内身故一次性补付未领余额（不计息）；③ ★60岁（首个领取日）之后身故，身故保险金＝0；④ 现价自 60 岁起递减，84 岁归零；⑤ 保单贷款上限＝现价×80%，单次≤180天；⑥ 生存金受益人默认投保人本人</t>
        </is>
      </c>
    </row>
    <row r="8" ht="80" customHeight="1">
      <c r="A8" s="33" t="n">
        <v>3</v>
      </c>
      <c r="B8" s="33" t="inlineStr">
        <is>
          <t>杜汐姮</t>
        </is>
      </c>
      <c r="C8" s="45" t="inlineStr">
        <is>
          <t>杜岩松</t>
        </is>
      </c>
      <c r="D8" s="59" t="inlineStr">
        <is>
          <t>陆家嘴国泰人寿</t>
        </is>
      </c>
      <c r="E8" s="60" t="inlineStr">
        <is>
          <t>陆家嘴国泰恒泰尊享（3.0版）终身寿险</t>
        </is>
      </c>
      <c r="F8" s="33" t="inlineStr">
        <is>
          <t>增额终身寿</t>
        </is>
      </c>
      <c r="G8" s="33" t="inlineStr">
        <is>
          <t>G11000462820</t>
        </is>
      </c>
      <c r="H8" s="33" t="inlineStr">
        <is>
          <t>2023-12-27</t>
        </is>
      </c>
      <c r="I8" s="110" t="n">
        <v>1916479.81</v>
      </c>
      <c r="J8" s="110" t="n">
        <v>2000000</v>
      </c>
      <c r="K8" s="110" t="n">
        <v>1600567.28</v>
      </c>
      <c r="L8" s="44" t="inlineStr">
        <is>
          <t>杜岩松 100%</t>
        </is>
      </c>
      <c r="M8" s="60" t="inlineStr">
        <is>
          <t>有效保额 3%/年 递增</t>
        </is>
      </c>
      <c r="N8" s="60" t="inlineStr">
        <is>
          <t>★【教育金专项】用于女儿 18-22 岁大学四年。① 条款 11.2：每年累计减少的基本保险金额之和不得超过申请时所在保单年度初基本保险金额的 20% ← 取现能力硬约束；② 身故比例 18-40岁160%／41-60岁140%／61岁+120%；③ 含水陆客运交通意外身故金（基本保额×50%，18岁后前20个保单年度且70岁前）；④ 第二投保人权益（§9）★建议现在设置，否则投保人身故时现价按遗产处理；⑤ 借款上限＝现价×80%，单次≤6个月；⑥ 满60周岁且生效满10周年可转换为年金</t>
        </is>
      </c>
    </row>
    <row r="9" ht="80" customHeight="1">
      <c r="A9" s="33" t="n">
        <v>4</v>
      </c>
      <c r="B9" s="33" t="inlineStr">
        <is>
          <t>杜汐姮</t>
        </is>
      </c>
      <c r="C9" s="45" t="inlineStr">
        <is>
          <t>杜岩松</t>
        </is>
      </c>
      <c r="D9" s="59" t="inlineStr">
        <is>
          <t>陆家嘴国泰人寿</t>
        </is>
      </c>
      <c r="E9" s="60" t="inlineStr">
        <is>
          <t>陆家嘴国泰金管家2.0终身寿险（万能型）</t>
        </is>
      </c>
      <c r="F9" s="33" t="inlineStr">
        <is>
          <t>万能险</t>
        </is>
      </c>
      <c r="G9" s="33" t="inlineStr">
        <is>
          <t>G11000462835</t>
        </is>
      </c>
      <c r="H9" s="33" t="inlineStr">
        <is>
          <t>2023-12-27</t>
        </is>
      </c>
      <c r="I9" s="110" t="n">
        <v>0</v>
      </c>
      <c r="J9" s="110" t="n">
        <v>1000</v>
      </c>
      <c r="K9" s="110" t="n">
        <v>1000</v>
      </c>
      <c r="L9" s="44" t="inlineStr">
        <is>
          <t>杜岩松 100%</t>
        </is>
      </c>
      <c r="M9" s="60" t="inlineStr">
        <is>
          <t>最低保证利率 2%</t>
        </is>
      </c>
      <c r="N9" s="60" t="inlineStr">
        <is>
          <t>① 趸交 1,000 元，金额极小，主要作为账户载体；② 等待期 180 天；③ ★若家庭另持「泰康乐赢1号终身寿险（万能型）」，请在「资产明细」单列一行，不要与之合并</t>
        </is>
      </c>
    </row>
    <row r="10" ht="14.5" customHeight="1">
      <c r="A10" s="61" t="inlineStr"/>
      <c r="B10" s="61" t="inlineStr"/>
      <c r="C10" s="61" t="inlineStr"/>
      <c r="D10" s="61" t="inlineStr"/>
      <c r="E10" s="61" t="inlineStr"/>
      <c r="F10" s="61" t="inlineStr"/>
      <c r="G10" s="61" t="inlineStr"/>
      <c r="H10" s="61" t="inlineStr"/>
      <c r="I10" s="61" t="inlineStr"/>
      <c r="J10" s="92">
        <f>SUM(J6:J9)</f>
        <v/>
      </c>
      <c r="K10" s="92">
        <f>SUM(K6:K9)</f>
        <v/>
      </c>
      <c r="L10" s="61" t="inlineStr"/>
      <c r="M10" s="61" t="inlineStr"/>
      <c r="N10" s="63">
        <f>"累计已交保费 "&amp;TEXT(J10,"#,##0")&amp;" 元 ｜ 当前现金价值 "&amp;TEXT(K10,"#,##0")&amp;" 元 ｜ 立即退保损失 "&amp;TEXT(K10-J10,"#,##0")&amp;" 元（"&amp;TEXT(IFERROR((K10-J10)/J10,0),"0.0%")&amp;"）"</f>
        <v/>
      </c>
    </row>
    <row r="12" ht="20" customHeight="1">
      <c r="A12" s="3" t="inlineStr">
        <is>
          <t>二、现金价值与年金现金流（按年龄，现价为保单年度末值）</t>
        </is>
      </c>
    </row>
    <row r="13" ht="30" customHeight="1">
      <c r="A13" s="7" t="inlineStr">
        <is>
          <t>年龄</t>
        </is>
      </c>
      <c r="B13" s="7" t="inlineStr">
        <is>
          <t>年份</t>
        </is>
      </c>
      <c r="C13" s="7" t="inlineStr">
        <is>
          <t>中意·现价</t>
        </is>
      </c>
      <c r="D13" s="7" t="inlineStr">
        <is>
          <t>泰康·现价</t>
        </is>
      </c>
      <c r="E13" s="7" t="inlineStr">
        <is>
          <t>恒泰尊享·现价</t>
        </is>
      </c>
      <c r="F13" s="7" t="inlineStr">
        <is>
          <t>现价合计</t>
        </is>
      </c>
      <c r="G13" s="7" t="inlineStr">
        <is>
          <t>泰康年金年领取</t>
        </is>
      </c>
      <c r="H13" s="7" t="inlineStr">
        <is>
          <t>泰康年金累计领取</t>
        </is>
      </c>
      <c r="I13" s="7" t="inlineStr">
        <is>
          <t>年金+现价</t>
        </is>
      </c>
      <c r="J13" s="7" t="inlineStr">
        <is>
          <t>备注</t>
        </is>
      </c>
    </row>
    <row r="14" ht="52" customHeight="1">
      <c r="A14" s="32" t="n">
        <v>46</v>
      </c>
      <c r="B14" s="32" t="n">
        <v>2026</v>
      </c>
      <c r="C14" s="101" t="n">
        <v>35603.36</v>
      </c>
      <c r="D14" s="101" t="n">
        <v>1862535</v>
      </c>
      <c r="E14" s="101" t="n">
        <v>1600567.28</v>
      </c>
      <c r="F14" s="113">
        <f>SUM(C14:E14)</f>
        <v/>
      </c>
      <c r="G14" s="104" t="n">
        <v>0</v>
      </c>
      <c r="H14" s="103">
        <f>G14</f>
        <v/>
      </c>
      <c r="I14" s="113">
        <f>F14+H14</f>
        <v/>
      </c>
      <c r="J14" s="40" t="inlineStr">
        <is>
          <t>2026-09 基准；保险现价合计 349.97 万（对账用）</t>
        </is>
      </c>
    </row>
    <row r="15" ht="14.5" customHeight="1">
      <c r="A15" s="32" t="n">
        <v>47</v>
      </c>
      <c r="B15" s="32" t="n">
        <v>2027</v>
      </c>
      <c r="C15" s="101" t="n">
        <v>36790.03</v>
      </c>
      <c r="D15" s="101" t="n">
        <v>1935345</v>
      </c>
      <c r="E15" s="101" t="n">
        <v>1808122.04</v>
      </c>
      <c r="F15" s="113">
        <f>SUM(C15:E15)</f>
        <v/>
      </c>
      <c r="G15" s="104" t="n">
        <v>0</v>
      </c>
      <c r="H15" s="103">
        <f>H14+G15</f>
        <v/>
      </c>
      <c r="I15" s="113">
        <f>F15+H15</f>
        <v/>
      </c>
      <c r="J15" s="40" t="inlineStr"/>
    </row>
    <row r="16" ht="14.5" customHeight="1">
      <c r="A16" s="32" t="n">
        <v>48</v>
      </c>
      <c r="B16" s="32" t="n">
        <v>2028</v>
      </c>
      <c r="C16" s="101" t="n">
        <v>38016.59</v>
      </c>
      <c r="D16" s="101" t="n">
        <v>2011020</v>
      </c>
      <c r="E16" s="101" t="n">
        <v>2026715.73</v>
      </c>
      <c r="F16" s="113">
        <f>SUM(C16:E16)</f>
        <v/>
      </c>
      <c r="G16" s="104" t="n">
        <v>0</v>
      </c>
      <c r="H16" s="103">
        <f>H15+G16</f>
        <v/>
      </c>
      <c r="I16" s="113">
        <f>F16+H16</f>
        <v/>
      </c>
      <c r="J16" s="40" t="inlineStr">
        <is>
          <t>女儿 18 岁入学</t>
        </is>
      </c>
    </row>
    <row r="17" ht="14.5" customHeight="1">
      <c r="A17" s="32" t="n">
        <v>49</v>
      </c>
      <c r="B17" s="32" t="n">
        <v>2029</v>
      </c>
      <c r="C17" s="101" t="n">
        <v>39283.03</v>
      </c>
      <c r="D17" s="101" t="n">
        <v>2089695</v>
      </c>
      <c r="E17" s="101" t="n">
        <v>2256635.81</v>
      </c>
      <c r="F17" s="113">
        <f>SUM(C17:E17)</f>
        <v/>
      </c>
      <c r="G17" s="104" t="n">
        <v>0</v>
      </c>
      <c r="H17" s="103">
        <f>H16+G17</f>
        <v/>
      </c>
      <c r="I17" s="113">
        <f>F17+H17</f>
        <v/>
      </c>
      <c r="J17" s="40" t="inlineStr"/>
    </row>
    <row r="18" ht="14.5" customHeight="1">
      <c r="A18" s="32" t="n">
        <v>50</v>
      </c>
      <c r="B18" s="32" t="n">
        <v>2030</v>
      </c>
      <c r="C18" s="101" t="n">
        <v>40596.01</v>
      </c>
      <c r="D18" s="101" t="n">
        <v>2171505</v>
      </c>
      <c r="E18" s="101" t="n">
        <v>2324210.89</v>
      </c>
      <c r="F18" s="113">
        <f>SUM(C18:E18)</f>
        <v/>
      </c>
      <c r="G18" s="104" t="n">
        <v>0</v>
      </c>
      <c r="H18" s="103">
        <f>H17+G18</f>
        <v/>
      </c>
      <c r="I18" s="113">
        <f>F18+H18</f>
        <v/>
      </c>
      <c r="J18" s="40" t="inlineStr"/>
    </row>
    <row r="19" ht="26" customHeight="1">
      <c r="A19" s="32" t="n">
        <v>51</v>
      </c>
      <c r="B19" s="32" t="n">
        <v>2031</v>
      </c>
      <c r="C19" s="101" t="n">
        <v>41343.91</v>
      </c>
      <c r="D19" s="101" t="n">
        <v>2256615</v>
      </c>
      <c r="E19" s="101" t="n">
        <v>2393798.27</v>
      </c>
      <c r="F19" s="113">
        <f>SUM(C19:E19)</f>
        <v/>
      </c>
      <c r="G19" s="104" t="n">
        <v>0</v>
      </c>
      <c r="H19" s="103">
        <f>H18+G19</f>
        <v/>
      </c>
      <c r="I19" s="113">
        <f>F19+H19</f>
        <v/>
      </c>
      <c r="J19" s="40" t="inlineStr">
        <is>
          <t>女儿 21 岁，大学最后一年</t>
        </is>
      </c>
    </row>
    <row r="20" ht="14.5" customHeight="1">
      <c r="A20" s="32" t="n">
        <v>52</v>
      </c>
      <c r="B20" s="32" t="n">
        <v>2032</v>
      </c>
      <c r="C20" s="101" t="n">
        <v>42101.78</v>
      </c>
      <c r="D20" s="101" t="n">
        <v>2345175</v>
      </c>
      <c r="E20" s="101" t="n">
        <v>2465493.78</v>
      </c>
      <c r="F20" s="113">
        <f>SUM(C20:E20)</f>
        <v/>
      </c>
      <c r="G20" s="104" t="n">
        <v>0</v>
      </c>
      <c r="H20" s="103">
        <f>H19+G20</f>
        <v/>
      </c>
      <c r="I20" s="113">
        <f>F20+H20</f>
        <v/>
      </c>
      <c r="J20" s="40" t="inlineStr"/>
    </row>
    <row r="21" ht="14.5" customHeight="1">
      <c r="A21" s="32" t="n">
        <v>53</v>
      </c>
      <c r="B21" s="32" t="n">
        <v>2033</v>
      </c>
      <c r="C21" s="101" t="n">
        <v>42876.28</v>
      </c>
      <c r="D21" s="101" t="n">
        <v>2437365</v>
      </c>
      <c r="E21" s="101" t="n">
        <v>2539335.75</v>
      </c>
      <c r="F21" s="113">
        <f>SUM(C21:E21)</f>
        <v/>
      </c>
      <c r="G21" s="104" t="n">
        <v>0</v>
      </c>
      <c r="H21" s="103">
        <f>H20+G21</f>
        <v/>
      </c>
      <c r="I21" s="113">
        <f>F21+H21</f>
        <v/>
      </c>
      <c r="J21" s="40" t="inlineStr"/>
    </row>
    <row r="22" ht="14.5" customHeight="1">
      <c r="A22" s="32" t="n">
        <v>54</v>
      </c>
      <c r="B22" s="32" t="n">
        <v>2034</v>
      </c>
      <c r="C22" s="101" t="n">
        <v>43660.74</v>
      </c>
      <c r="D22" s="101" t="n">
        <v>2533380</v>
      </c>
      <c r="E22" s="101" t="n">
        <v>2615400.83</v>
      </c>
      <c r="F22" s="113">
        <f>SUM(C22:E22)</f>
        <v/>
      </c>
      <c r="G22" s="104" t="n">
        <v>0</v>
      </c>
      <c r="H22" s="103">
        <f>H21+G22</f>
        <v/>
      </c>
      <c r="I22" s="113">
        <f>F22+H22</f>
        <v/>
      </c>
      <c r="J22" s="40" t="inlineStr"/>
    </row>
    <row r="23" ht="14.5" customHeight="1">
      <c r="A23" s="32" t="n">
        <v>55</v>
      </c>
      <c r="B23" s="32" t="n">
        <v>2035</v>
      </c>
      <c r="C23" s="101" t="n">
        <v>44465.15</v>
      </c>
      <c r="D23" s="101" t="n">
        <v>2633400</v>
      </c>
      <c r="E23" s="101" t="n">
        <v>2693765.69</v>
      </c>
      <c r="F23" s="113">
        <f>SUM(C23:E23)</f>
        <v/>
      </c>
      <c r="G23" s="104" t="n">
        <v>0</v>
      </c>
      <c r="H23" s="103">
        <f>H22+G23</f>
        <v/>
      </c>
      <c r="I23" s="113">
        <f>F23+H23</f>
        <v/>
      </c>
      <c r="J23" s="40" t="inlineStr"/>
    </row>
    <row r="24" ht="14.5" customHeight="1">
      <c r="A24" s="32" t="n">
        <v>56</v>
      </c>
      <c r="B24" s="32" t="n">
        <v>2036</v>
      </c>
      <c r="C24" s="101" t="n">
        <v>45282.85</v>
      </c>
      <c r="D24" s="101" t="n">
        <v>2737665</v>
      </c>
      <c r="E24" s="101" t="n">
        <v>2774468.66</v>
      </c>
      <c r="F24" s="113">
        <f>SUM(C24:E24)</f>
        <v/>
      </c>
      <c r="G24" s="104" t="n">
        <v>0</v>
      </c>
      <c r="H24" s="103">
        <f>H23+G24</f>
        <v/>
      </c>
      <c r="I24" s="113">
        <f>F24+H24</f>
        <v/>
      </c>
      <c r="J24" s="40" t="inlineStr"/>
    </row>
    <row r="25" ht="14.5" customHeight="1">
      <c r="A25" s="32" t="n">
        <v>57</v>
      </c>
      <c r="B25" s="32" t="n">
        <v>2037</v>
      </c>
      <c r="C25" s="101" t="n">
        <v>46117.18</v>
      </c>
      <c r="D25" s="101" t="n">
        <v>2846385</v>
      </c>
      <c r="E25" s="101" t="n">
        <v>2857624.72</v>
      </c>
      <c r="F25" s="113">
        <f>SUM(C25:E25)</f>
        <v/>
      </c>
      <c r="G25" s="104" t="n">
        <v>0</v>
      </c>
      <c r="H25" s="103">
        <f>H24+G25</f>
        <v/>
      </c>
      <c r="I25" s="113">
        <f>F25+H25</f>
        <v/>
      </c>
      <c r="J25" s="40" t="inlineStr"/>
    </row>
    <row r="26" ht="14.5" customHeight="1">
      <c r="A26" s="32" t="n">
        <v>58</v>
      </c>
      <c r="B26" s="32" t="n">
        <v>2038</v>
      </c>
      <c r="C26" s="101" t="n">
        <v>46968.12</v>
      </c>
      <c r="D26" s="101" t="n">
        <v>2959815</v>
      </c>
      <c r="E26" s="101" t="n">
        <v>2943272.2</v>
      </c>
      <c r="F26" s="113">
        <f>SUM(C26:E26)</f>
        <v/>
      </c>
      <c r="G26" s="104" t="n">
        <v>0</v>
      </c>
      <c r="H26" s="103">
        <f>H25+G26</f>
        <v/>
      </c>
      <c r="I26" s="113">
        <f>F26+H26</f>
        <v/>
      </c>
      <c r="J26" s="40" t="inlineStr"/>
    </row>
    <row r="27" ht="39" customHeight="1">
      <c r="A27" s="32" t="n">
        <v>59</v>
      </c>
      <c r="B27" s="32" t="n">
        <v>2039</v>
      </c>
      <c r="C27" s="101" t="n">
        <v>47839.01</v>
      </c>
      <c r="D27" s="101" t="n">
        <v>3077970</v>
      </c>
      <c r="E27" s="101" t="n">
        <v>3031506.93</v>
      </c>
      <c r="F27" s="113">
        <f>SUM(C27:E27)</f>
        <v/>
      </c>
      <c r="G27" s="104" t="n">
        <v>0</v>
      </c>
      <c r="H27" s="103">
        <f>H26+G27</f>
        <v/>
      </c>
      <c r="I27" s="113">
        <f>F27+H27</f>
        <v/>
      </c>
      <c r="J27" s="40" t="inlineStr">
        <is>
          <t>退休前最后一年；泰康现价达峰 307.8 万</t>
        </is>
      </c>
    </row>
    <row r="28" ht="26" customHeight="1">
      <c r="A28" s="32" t="n">
        <v>60</v>
      </c>
      <c r="B28" s="32" t="n">
        <v>2040</v>
      </c>
      <c r="C28" s="101" t="n">
        <v>48729.84</v>
      </c>
      <c r="D28" s="101" t="n">
        <v>2796660</v>
      </c>
      <c r="E28" s="101" t="n">
        <v>3122386.4</v>
      </c>
      <c r="F28" s="113">
        <f>SUM(C28:E28)</f>
        <v/>
      </c>
      <c r="G28" s="104" t="n">
        <v>177990</v>
      </c>
      <c r="H28" s="103">
        <f>H27+G28</f>
        <v/>
      </c>
      <c r="I28" s="113">
        <f>F28+H28</f>
        <v/>
      </c>
      <c r="J28" s="40" t="inlineStr">
        <is>
          <t>★年金开始领取；泰康现价断崖下降</t>
        </is>
      </c>
    </row>
    <row r="29" ht="14.5" customHeight="1">
      <c r="A29" s="32" t="n">
        <v>61</v>
      </c>
      <c r="B29" s="32" t="n">
        <v>2041</v>
      </c>
      <c r="C29" s="101" t="n">
        <v>49760.03</v>
      </c>
      <c r="D29" s="101" t="n">
        <v>2605695</v>
      </c>
      <c r="E29" s="101" t="n">
        <v>3214103.99</v>
      </c>
      <c r="F29" s="113">
        <f>SUM(C29:E29)</f>
        <v/>
      </c>
      <c r="G29" s="104" t="n">
        <v>177990</v>
      </c>
      <c r="H29" s="103">
        <f>H28+G29</f>
        <v/>
      </c>
      <c r="I29" s="113">
        <f>F29+H29</f>
        <v/>
      </c>
      <c r="J29" s="40" t="inlineStr"/>
    </row>
    <row r="30" ht="14.5" customHeight="1">
      <c r="A30" s="32" t="n">
        <v>62</v>
      </c>
      <c r="B30" s="32" t="n">
        <v>2042</v>
      </c>
      <c r="C30" s="101" t="n">
        <v>50790.5</v>
      </c>
      <c r="D30" s="101" t="n">
        <v>2415000</v>
      </c>
      <c r="E30" s="101" t="n">
        <v>3308970.84</v>
      </c>
      <c r="F30" s="113">
        <f>SUM(C30:E30)</f>
        <v/>
      </c>
      <c r="G30" s="104" t="n">
        <v>177990</v>
      </c>
      <c r="H30" s="103">
        <f>H29+G30</f>
        <v/>
      </c>
      <c r="I30" s="113">
        <f>F30+H30</f>
        <v/>
      </c>
      <c r="J30" s="40" t="inlineStr"/>
    </row>
    <row r="31" ht="14.5" customHeight="1">
      <c r="A31" s="32" t="n">
        <v>63</v>
      </c>
      <c r="B31" s="32" t="n">
        <v>2043</v>
      </c>
      <c r="C31" s="101" t="n">
        <v>51821.26</v>
      </c>
      <c r="D31" s="101" t="n">
        <v>2223000</v>
      </c>
      <c r="E31" s="101" t="n">
        <v>3407025.03</v>
      </c>
      <c r="F31" s="113">
        <f>SUM(C31:E31)</f>
        <v/>
      </c>
      <c r="G31" s="104" t="n">
        <v>177990</v>
      </c>
      <c r="H31" s="103">
        <f>H30+G31</f>
        <v/>
      </c>
      <c r="I31" s="113">
        <f>F31+H31</f>
        <v/>
      </c>
      <c r="J31" s="40" t="inlineStr"/>
    </row>
    <row r="32" ht="14.5" customHeight="1">
      <c r="A32" s="32" t="n">
        <v>64</v>
      </c>
      <c r="B32" s="32" t="n">
        <v>2044</v>
      </c>
      <c r="C32" s="101" t="n">
        <v>52852.3</v>
      </c>
      <c r="D32" s="101" t="n">
        <v>2029500</v>
      </c>
      <c r="E32" s="101" t="n">
        <v>3508350</v>
      </c>
      <c r="F32" s="113">
        <f>SUM(C32:E32)</f>
        <v/>
      </c>
      <c r="G32" s="104" t="n">
        <v>177990</v>
      </c>
      <c r="H32" s="103">
        <f>H31+G32</f>
        <v/>
      </c>
      <c r="I32" s="113">
        <f>F32+H32</f>
        <v/>
      </c>
      <c r="J32" s="40" t="inlineStr"/>
    </row>
    <row r="33" ht="14.5" customHeight="1">
      <c r="A33" s="32" t="n">
        <v>65</v>
      </c>
      <c r="B33" s="32" t="n">
        <v>2045</v>
      </c>
      <c r="C33" s="101" t="n">
        <v>53883.63</v>
      </c>
      <c r="D33" s="101" t="n">
        <v>1833000</v>
      </c>
      <c r="E33" s="101" t="n">
        <v>3613032.56</v>
      </c>
      <c r="F33" s="113">
        <f>SUM(C33:E33)</f>
        <v/>
      </c>
      <c r="G33" s="104" t="n">
        <v>177990</v>
      </c>
      <c r="H33" s="103">
        <f>H32+G33</f>
        <v/>
      </c>
      <c r="I33" s="113">
        <f>F33+H33</f>
        <v/>
      </c>
      <c r="J33" s="40" t="inlineStr"/>
    </row>
    <row r="35" ht="20" customHeight="1">
      <c r="A35" s="3" t="inlineStr">
        <is>
          <t>三、保障缺口分析（来源：明亚《杜岩松家庭保障分析报告》2026-09-13）</t>
        </is>
      </c>
    </row>
    <row r="36" ht="30" customHeight="1">
      <c r="A36" s="7" t="inlineStr">
        <is>
          <t>成员</t>
        </is>
      </c>
      <c r="B36" s="7" t="inlineStr">
        <is>
          <t>保障类型</t>
        </is>
      </c>
      <c r="C36" s="7" t="inlineStr">
        <is>
          <t>已有保障(元)</t>
        </is>
      </c>
      <c r="D36" s="7" t="inlineStr">
        <is>
          <t>建议保障(元)</t>
        </is>
      </c>
      <c r="E36" s="7" t="inlineStr">
        <is>
          <t>缺口(元)</t>
        </is>
      </c>
      <c r="F36" s="7" t="inlineStr">
        <is>
          <t>优先级</t>
        </is>
      </c>
      <c r="G36" s="7" t="inlineStr">
        <is>
          <t>说明</t>
        </is>
      </c>
    </row>
    <row r="37" ht="14.5" customHeight="1">
      <c r="A37" s="53" t="inlineStr">
        <is>
          <t>杜岩松（46岁）</t>
        </is>
      </c>
      <c r="B37" s="33" t="inlineStr">
        <is>
          <t>重大疾病</t>
        </is>
      </c>
      <c r="C37" s="104" t="n">
        <v>0</v>
      </c>
      <c r="D37" s="104" t="n">
        <v>780000</v>
      </c>
      <c r="E37" s="114">
        <f>MAX(D37-C37,0)</f>
        <v/>
      </c>
      <c r="F37" s="66" t="inlineStr">
        <is>
          <t>P0</t>
        </is>
      </c>
      <c r="G37" s="40" t="inlineStr">
        <is>
          <t>重疾保额严重缺失，一旦发生将直接侵蚀 FIRE 资产</t>
        </is>
      </c>
      <c r="H37" s="41" t="n"/>
      <c r="I37" s="41" t="n"/>
      <c r="J37" s="41" t="n"/>
      <c r="K37" s="41" t="n"/>
      <c r="L37" s="41" t="n"/>
      <c r="M37" s="41" t="n"/>
      <c r="N37" s="42" t="n"/>
    </row>
    <row r="38" ht="14.5" customHeight="1">
      <c r="A38" s="53" t="inlineStr">
        <is>
          <t>杜岩松（46岁）</t>
        </is>
      </c>
      <c r="B38" s="33" t="inlineStr">
        <is>
          <t>医疗保险</t>
        </is>
      </c>
      <c r="C38" s="104" t="n">
        <v>0</v>
      </c>
      <c r="D38" s="104" t="n">
        <v>1000000</v>
      </c>
      <c r="E38" s="114">
        <f>MAX(D38-C38,0)</f>
        <v/>
      </c>
      <c r="F38" s="53" t="inlineStr">
        <is>
          <t>P1</t>
        </is>
      </c>
      <c r="G38" s="40" t="inlineStr">
        <is>
          <t>无任何商业医疗，大额医疗费用需完全自付</t>
        </is>
      </c>
      <c r="H38" s="41" t="n"/>
      <c r="I38" s="41" t="n"/>
      <c r="J38" s="41" t="n"/>
      <c r="K38" s="41" t="n"/>
      <c r="L38" s="41" t="n"/>
      <c r="M38" s="41" t="n"/>
      <c r="N38" s="42" t="n"/>
    </row>
    <row r="39" ht="14.5" customHeight="1">
      <c r="A39" s="53" t="inlineStr">
        <is>
          <t>杜岩松（46岁）</t>
        </is>
      </c>
      <c r="B39" s="33" t="inlineStr">
        <is>
          <t>寿险(身故)</t>
        </is>
      </c>
      <c r="C39" s="104" t="n">
        <v>33240</v>
      </c>
      <c r="D39" s="104" t="n">
        <v>3360000</v>
      </c>
      <c r="E39" s="114">
        <f>MAX(D39-C39,0)</f>
        <v/>
      </c>
      <c r="F39" s="66" t="inlineStr">
        <is>
          <t>P0</t>
        </is>
      </c>
      <c r="G39" s="40" t="inlineStr">
        <is>
          <t>缺口 332.68 万；身故情景下 FIRE 进度将由约 135% 降至约 91%</t>
        </is>
      </c>
      <c r="H39" s="41" t="n"/>
      <c r="I39" s="41" t="n"/>
      <c r="J39" s="41" t="n"/>
      <c r="K39" s="41" t="n"/>
      <c r="L39" s="41" t="n"/>
      <c r="M39" s="41" t="n"/>
      <c r="N39" s="42" t="n"/>
    </row>
    <row r="40" ht="14.5" customHeight="1">
      <c r="A40" s="53" t="inlineStr">
        <is>
          <t>杜岩松（46岁）</t>
        </is>
      </c>
      <c r="B40" s="33" t="inlineStr">
        <is>
          <t>意外险</t>
        </is>
      </c>
      <c r="C40" s="104" t="n">
        <v>0</v>
      </c>
      <c r="D40" s="104" t="n">
        <v>850000</v>
      </c>
      <c r="E40" s="114">
        <f>MAX(D40-C40,0)</f>
        <v/>
      </c>
      <c r="F40" s="53" t="inlineStr">
        <is>
          <t>P1</t>
        </is>
      </c>
      <c r="G40" s="40" t="inlineStr">
        <is>
          <t>无意外保障</t>
        </is>
      </c>
      <c r="H40" s="41" t="n"/>
      <c r="I40" s="41" t="n"/>
      <c r="J40" s="41" t="n"/>
      <c r="K40" s="41" t="n"/>
      <c r="L40" s="41" t="n"/>
      <c r="M40" s="41" t="n"/>
      <c r="N40" s="42" t="n"/>
    </row>
    <row r="41" ht="14.5" customHeight="1">
      <c r="A41" s="53" t="inlineStr">
        <is>
          <t>杜岩松（46岁）</t>
        </is>
      </c>
      <c r="B41" s="33" t="inlineStr">
        <is>
          <t>养老年金</t>
        </is>
      </c>
      <c r="C41" s="104" t="n">
        <v>177990</v>
      </c>
      <c r="D41" s="104" t="n">
        <v>260000</v>
      </c>
      <c r="E41" s="114">
        <f>MAX(D41-C41,0)</f>
        <v/>
      </c>
      <c r="F41" s="53" t="inlineStr">
        <is>
          <t>P1</t>
        </is>
      </c>
      <c r="G41" s="40" t="inlineStr">
        <is>
          <t>已有年金 17.8 万/年，距建议 26 万/年缺 8.2 万/年（元/年口径）</t>
        </is>
      </c>
      <c r="H41" s="41" t="n"/>
      <c r="I41" s="41" t="n"/>
      <c r="J41" s="41" t="n"/>
      <c r="K41" s="41" t="n"/>
      <c r="L41" s="41" t="n"/>
      <c r="M41" s="41" t="n"/>
      <c r="N41" s="42" t="n"/>
    </row>
    <row r="42" ht="14.5" customHeight="1">
      <c r="A42" s="53" t="inlineStr">
        <is>
          <t>杜汐姮（16岁）</t>
        </is>
      </c>
      <c r="B42" s="33" t="inlineStr">
        <is>
          <t>重大疾病</t>
        </is>
      </c>
      <c r="C42" s="104" t="n">
        <v>0</v>
      </c>
      <c r="D42" s="104" t="n">
        <v>530000</v>
      </c>
      <c r="E42" s="114">
        <f>MAX(D42-C42,0)</f>
        <v/>
      </c>
      <c r="F42" s="53" t="inlineStr">
        <is>
          <t>P1</t>
        </is>
      </c>
      <c r="G42" s="40" t="inlineStr">
        <is>
          <t>未成年人重疾保障缺失</t>
        </is>
      </c>
      <c r="H42" s="41" t="n"/>
      <c r="I42" s="41" t="n"/>
      <c r="J42" s="41" t="n"/>
      <c r="K42" s="41" t="n"/>
      <c r="L42" s="41" t="n"/>
      <c r="M42" s="41" t="n"/>
      <c r="N42" s="42" t="n"/>
    </row>
    <row r="43" ht="14.5" customHeight="1">
      <c r="A43" s="53" t="inlineStr">
        <is>
          <t>杜汐姮（16岁）</t>
        </is>
      </c>
      <c r="B43" s="33" t="inlineStr">
        <is>
          <t>医疗保险</t>
        </is>
      </c>
      <c r="C43" s="104" t="n">
        <v>0</v>
      </c>
      <c r="D43" s="104" t="n">
        <v>1000000</v>
      </c>
      <c r="E43" s="114">
        <f>MAX(D43-C43,0)</f>
        <v/>
      </c>
      <c r="F43" s="53" t="inlineStr">
        <is>
          <t>P1</t>
        </is>
      </c>
      <c r="G43" s="40" t="inlineStr">
        <is>
          <t>无商业医疗</t>
        </is>
      </c>
      <c r="H43" s="41" t="n"/>
      <c r="I43" s="41" t="n"/>
      <c r="J43" s="41" t="n"/>
      <c r="K43" s="41" t="n"/>
      <c r="L43" s="41" t="n"/>
      <c r="M43" s="41" t="n"/>
      <c r="N43" s="42" t="n"/>
    </row>
    <row r="44" ht="14.5" customHeight="1">
      <c r="A44" s="53" t="inlineStr">
        <is>
          <t>杜汐姮（16岁）</t>
        </is>
      </c>
      <c r="B44" s="33" t="inlineStr">
        <is>
          <t>意外险</t>
        </is>
      </c>
      <c r="C44" s="104" t="n">
        <v>0</v>
      </c>
      <c r="D44" s="104" t="n">
        <v>530000</v>
      </c>
      <c r="E44" s="114">
        <f>MAX(D44-C44,0)</f>
        <v/>
      </c>
      <c r="F44" s="53" t="inlineStr">
        <is>
          <t>P1</t>
        </is>
      </c>
      <c r="G44" s="40" t="inlineStr">
        <is>
          <t>无意外保障</t>
        </is>
      </c>
      <c r="H44" s="41" t="n"/>
      <c r="I44" s="41" t="n"/>
      <c r="J44" s="41" t="n"/>
      <c r="K44" s="41" t="n"/>
      <c r="L44" s="41" t="n"/>
      <c r="M44" s="41" t="n"/>
      <c r="N44" s="42" t="n"/>
    </row>
    <row r="45" ht="46" customHeight="1">
      <c r="A45" s="67" t="inlineStr">
        <is>
          <t>关键结论</t>
        </is>
      </c>
      <c r="B45" s="68" t="inlineStr">
        <is>
          <t>★家庭「损失性风险保障」的年度保费为 0 元——把 500 万全部投向储蓄型保险，却未为疾病、医疗、意外、身故配置任何保障型险种。报告建议损失性风险保障的年度保费支出占家庭年收入的 10%–20%。资产充裕不等于风险免疫：财务自由的最大威胁不是收益率不够，而是一次未投保的重大风险。</t>
        </is>
      </c>
      <c r="C45" s="41" t="n"/>
      <c r="D45" s="41" t="n"/>
      <c r="E45" s="41" t="n"/>
      <c r="F45" s="41" t="n"/>
      <c r="G45" s="41" t="n"/>
      <c r="H45" s="41" t="n"/>
      <c r="I45" s="41" t="n"/>
      <c r="J45" s="41" t="n"/>
      <c r="K45" s="41" t="n"/>
      <c r="L45" s="41" t="n"/>
      <c r="M45" s="41" t="n"/>
      <c r="N45" s="42" t="n"/>
    </row>
    <row r="47" ht="20" customHeight="1">
      <c r="A47" s="3" t="inlineStr">
        <is>
          <t>四、保单收益测算（IRR 与年金现值）</t>
        </is>
      </c>
    </row>
    <row r="48" ht="30" customHeight="1">
      <c r="A48" s="7" t="inlineStr">
        <is>
          <t>保单</t>
        </is>
      </c>
      <c r="B48" s="7" t="inlineStr">
        <is>
          <t>累计已交保费</t>
        </is>
      </c>
      <c r="C48" s="7" t="inlineStr">
        <is>
          <t>测算口径</t>
        </is>
      </c>
      <c r="D48" s="7" t="inlineStr">
        <is>
          <t>对应金额</t>
        </is>
      </c>
      <c r="E48" s="7" t="inlineStr">
        <is>
          <t>IRR(年化)</t>
        </is>
      </c>
      <c r="F48" s="7" t="inlineStr">
        <is>
          <t>结论提示</t>
        </is>
      </c>
    </row>
    <row r="49" ht="43.5" customHeight="1">
      <c r="A49" s="26" t="inlineStr">
        <is>
          <t>泰康乐享百岁</t>
        </is>
      </c>
      <c r="B49" s="104" t="n">
        <v>3012480</v>
      </c>
      <c r="C49" s="60" t="inlineStr">
        <is>
          <t>仅保证给付 25 年（60→84岁，25 笔）</t>
        </is>
      </c>
      <c r="D49" s="104" t="n">
        <v>4449750</v>
      </c>
      <c r="E49" s="115" t="n">
        <v>0.01421</v>
      </c>
      <c r="F49" s="40" t="inlineStr">
        <is>
          <t>★确定性下限仅 1.42%，低于同期长期国债——这是一份「长寿保险」，不是高收益投资</t>
        </is>
      </c>
      <c r="G49" s="41" t="n"/>
      <c r="H49" s="41" t="n"/>
      <c r="I49" s="41" t="n"/>
      <c r="J49" s="41" t="n"/>
      <c r="K49" s="41" t="n"/>
      <c r="L49" s="41" t="n"/>
      <c r="M49" s="41" t="n"/>
      <c r="N49" s="42" t="n"/>
    </row>
    <row r="50" ht="29" customHeight="1">
      <c r="A50" s="26" t="inlineStr">
        <is>
          <t>泰康乐享百岁</t>
        </is>
      </c>
      <c r="B50" s="104" t="n">
        <v>3012480</v>
      </c>
      <c r="C50" s="60" t="inlineStr">
        <is>
          <t>领取至 106 岁（47 笔）</t>
        </is>
      </c>
      <c r="D50" s="104" t="n">
        <v>8365530</v>
      </c>
      <c r="E50" s="115" t="n">
        <v>0.0284</v>
      </c>
      <c r="F50" s="40" t="inlineStr">
        <is>
          <t>需活到高龄才能实现，年化约 2.84%</t>
        </is>
      </c>
      <c r="G50" s="41" t="n"/>
      <c r="H50" s="41" t="n"/>
      <c r="I50" s="41" t="n"/>
      <c r="J50" s="41" t="n"/>
      <c r="K50" s="41" t="n"/>
      <c r="L50" s="41" t="n"/>
      <c r="M50" s="41" t="n"/>
      <c r="N50" s="42" t="n"/>
    </row>
    <row r="51" ht="43.5" customHeight="1">
      <c r="A51" s="26" t="inlineStr">
        <is>
          <t>恒泰尊享 3.0</t>
        </is>
      </c>
      <c r="B51" s="104" t="n">
        <v>2000000</v>
      </c>
      <c r="C51" s="60" t="inlineStr">
        <is>
          <t>持有至 85 岁（现价 6,537,113）</t>
        </is>
      </c>
      <c r="D51" s="104" t="n">
        <v>6537112.63</v>
      </c>
      <c r="E51" s="115" t="n">
        <v>0.0286</v>
      </c>
      <c r="F51" s="40" t="inlineStr">
        <is>
          <t>★宣传的「保额 3% 递增」是身故赔付基数的增速，不是现金价值增速</t>
        </is>
      </c>
      <c r="G51" s="41" t="n"/>
      <c r="H51" s="41" t="n"/>
      <c r="I51" s="41" t="n"/>
      <c r="J51" s="41" t="n"/>
      <c r="K51" s="41" t="n"/>
      <c r="L51" s="41" t="n"/>
      <c r="M51" s="41" t="n"/>
      <c r="N51" s="42" t="n"/>
    </row>
    <row r="52" ht="43.5" customHeight="1">
      <c r="A52" s="26" t="inlineStr">
        <is>
          <t>恒泰尊享 3.0</t>
        </is>
      </c>
      <c r="B52" s="104" t="n">
        <v>2000000</v>
      </c>
      <c r="C52" s="60" t="inlineStr">
        <is>
          <t>持有至 105 岁（现价 11,806,646）</t>
        </is>
      </c>
      <c r="D52" s="104" t="n">
        <v>11806646.35</v>
      </c>
      <c r="E52" s="115" t="n">
        <v>0.02905</v>
      </c>
      <c r="F52" s="40" t="inlineStr">
        <is>
          <t>首年现价仅为保费的 60.8%，回本需至第 5 个保单年度（2028-12）</t>
        </is>
      </c>
      <c r="G52" s="41" t="n"/>
      <c r="H52" s="41" t="n"/>
      <c r="I52" s="41" t="n"/>
      <c r="J52" s="41" t="n"/>
      <c r="K52" s="41" t="n"/>
      <c r="L52" s="41" t="n"/>
      <c r="M52" s="41" t="n"/>
      <c r="N52" s="42" t="n"/>
    </row>
    <row r="53" ht="43.5" customHeight="1">
      <c r="A53" s="26" t="inlineStr">
        <is>
          <t>中意一生中意</t>
        </is>
      </c>
      <c r="B53" s="104" t="n">
        <v>40000</v>
      </c>
      <c r="C53" s="60" t="inlineStr">
        <is>
          <t>持有至 105 岁（现价 110,147）</t>
        </is>
      </c>
      <c r="D53" s="104" t="n">
        <v>110147.39</v>
      </c>
      <c r="E53" s="115" t="n">
        <v>0.01674</v>
      </c>
      <c r="F53" s="40" t="inlineStr">
        <is>
          <t>★保证现价部分 IRR 仅 1.67%，产品价值高度依赖不保证的分红</t>
        </is>
      </c>
      <c r="G53" s="41" t="n"/>
      <c r="H53" s="41" t="n"/>
      <c r="I53" s="41" t="n"/>
      <c r="J53" s="41" t="n"/>
      <c r="K53" s="41" t="n"/>
      <c r="L53" s="41" t="n"/>
      <c r="M53" s="41" t="n"/>
      <c r="N53" s="42" t="n"/>
    </row>
    <row r="54" ht="30" customHeight="1">
      <c r="A54" s="8" t="inlineStr">
        <is>
          <t>年金现值口径</t>
        </is>
      </c>
      <c r="B54" s="11" t="inlineStr">
        <is>
          <t>年金是合同确定的现金流，性质等同债券，应按长期无风险利率贴现，而非用权益类的 SWR 资本化：贴现率 2.0% → 现值 4,167,193 元；2.5% → 3,546,535 元；3.0% → 3,033,058 元；4.0% → 2,249,410 元。若用 SWR 4% 资本化（4,449,750 元）会高估约 25%–47%。</t>
        </is>
      </c>
      <c r="C54" s="41" t="n"/>
      <c r="D54" s="41" t="n"/>
      <c r="E54" s="41" t="n"/>
      <c r="F54" s="41" t="n"/>
      <c r="G54" s="41" t="n"/>
      <c r="H54" s="41" t="n"/>
      <c r="I54" s="41" t="n"/>
      <c r="J54" s="41" t="n"/>
      <c r="K54" s="41" t="n"/>
      <c r="L54" s="41" t="n"/>
      <c r="M54" s="41" t="n"/>
      <c r="N54" s="42" t="n"/>
    </row>
    <row r="56" ht="20" customHeight="1">
      <c r="A56" s="3" t="inlineStr">
        <is>
          <t>五、保单可用的资金工具对比（应急或用款时按此优先级）</t>
        </is>
      </c>
    </row>
    <row r="57" ht="30" customHeight="1">
      <c r="A57" s="7" t="inlineStr">
        <is>
          <t>工具</t>
        </is>
      </c>
      <c r="B57" s="7" t="inlineStr">
        <is>
          <t>适用保单</t>
        </is>
      </c>
      <c r="C57" s="7" t="inlineStr">
        <is>
          <t>可得金额上限</t>
        </is>
      </c>
      <c r="D57" s="7" t="inlineStr">
        <is>
          <t>成本／代价</t>
        </is>
      </c>
      <c r="E57" s="7" t="inlineStr">
        <is>
          <t>到账速度</t>
        </is>
      </c>
      <c r="F57" s="7" t="inlineStr">
        <is>
          <t>适用场景</t>
        </is>
      </c>
    </row>
    <row r="58" ht="28" customHeight="1">
      <c r="A58" s="59" t="inlineStr">
        <is>
          <t>减保取现</t>
        </is>
      </c>
      <c r="B58" s="59" t="inlineStr">
        <is>
          <t>恒泰尊享 3.0</t>
        </is>
      </c>
      <c r="C58" s="60" t="inlineStr">
        <is>
          <t>每年 ≤ 当年度初基本保额的 20%（约 20% 现价）</t>
        </is>
      </c>
      <c r="D58" s="60" t="inlineStr">
        <is>
          <t>按比例减少保额与保障，无额外费用</t>
        </is>
      </c>
      <c r="E58" s="59" t="inlineStr">
        <is>
          <t>3–7 个工作日</t>
        </is>
      </c>
      <c r="F58" s="60" t="inlineStr">
        <is>
          <t>★教育金专用；受条款 11.2 年度上限约束</t>
        </is>
      </c>
      <c r="G58" s="41" t="n"/>
      <c r="H58" s="41" t="n"/>
      <c r="I58" s="41" t="n"/>
      <c r="J58" s="41" t="n"/>
      <c r="K58" s="41" t="n"/>
      <c r="L58" s="41" t="n"/>
      <c r="M58" s="41" t="n"/>
      <c r="N58" s="42" t="n"/>
    </row>
    <row r="59" ht="28" customHeight="1">
      <c r="A59" s="59" t="inlineStr">
        <is>
          <t>保单贷款</t>
        </is>
      </c>
      <c r="B59" s="59" t="inlineStr">
        <is>
          <t>恒泰尊享／泰康年金／金管家</t>
        </is>
      </c>
      <c r="C59" s="60" t="inlineStr">
        <is>
          <t>现价 × 80%</t>
        </is>
      </c>
      <c r="D59" s="60" t="inlineStr">
        <is>
          <t>需付贷款利息；泰康单次≤180天，恒泰单次≤6个月</t>
        </is>
      </c>
      <c r="E59" s="59" t="inlineStr">
        <is>
          <t>1–3 个工作日</t>
        </is>
      </c>
      <c r="F59" s="60" t="inlineStr">
        <is>
          <t>短期资金周转；注意利息成本与续借</t>
        </is>
      </c>
      <c r="G59" s="41" t="n"/>
      <c r="H59" s="41" t="n"/>
      <c r="I59" s="41" t="n"/>
      <c r="J59" s="41" t="n"/>
      <c r="K59" s="41" t="n"/>
      <c r="L59" s="41" t="n"/>
      <c r="M59" s="41" t="n"/>
      <c r="N59" s="42" t="n"/>
    </row>
    <row r="60" ht="28" customHeight="1">
      <c r="A60" s="59" t="inlineStr">
        <is>
          <t>减保取现</t>
        </is>
      </c>
      <c r="B60" s="59" t="inlineStr">
        <is>
          <t>泰康乐享百岁</t>
        </is>
      </c>
      <c r="C60" s="60" t="inlineStr">
        <is>
          <t>按比例减少基本保额，领取对应现价</t>
        </is>
      </c>
      <c r="D60" s="60" t="inlineStr">
        <is>
          <t>直接减少未来年金领取额</t>
        </is>
      </c>
      <c r="E60" s="59" t="inlineStr">
        <is>
          <t>3–7 个工作日</t>
        </is>
      </c>
      <c r="F60" s="60" t="inlineStr">
        <is>
          <t>不建议——会削减退休现金流</t>
        </is>
      </c>
      <c r="G60" s="41" t="n"/>
      <c r="H60" s="41" t="n"/>
      <c r="I60" s="41" t="n"/>
      <c r="J60" s="41" t="n"/>
      <c r="K60" s="41" t="n"/>
      <c r="L60" s="41" t="n"/>
      <c r="M60" s="41" t="n"/>
      <c r="N60" s="42" t="n"/>
    </row>
    <row r="61" ht="28" customHeight="1">
      <c r="A61" s="59" t="inlineStr">
        <is>
          <t>部分领取/退保</t>
        </is>
      </c>
      <c r="B61" s="59" t="inlineStr">
        <is>
          <t>金管家 2.0（万能）</t>
        </is>
      </c>
      <c r="C61" s="60" t="inlineStr">
        <is>
          <t>账户价值</t>
        </is>
      </c>
      <c r="D61" s="60" t="inlineStr">
        <is>
          <t>按条款的领取/退保费用</t>
        </is>
      </c>
      <c r="E61" s="59" t="inlineStr">
        <is>
          <t>1–3 个工作日</t>
        </is>
      </c>
      <c r="F61" s="60" t="inlineStr">
        <is>
          <t>金额极小，无实际意义</t>
        </is>
      </c>
      <c r="G61" s="41" t="n"/>
      <c r="H61" s="41" t="n"/>
      <c r="I61" s="41" t="n"/>
      <c r="J61" s="41" t="n"/>
      <c r="K61" s="41" t="n"/>
      <c r="L61" s="41" t="n"/>
      <c r="M61" s="41" t="n"/>
      <c r="N61" s="42" t="n"/>
    </row>
    <row r="62" ht="28" customHeight="1">
      <c r="A62" s="59" t="inlineStr">
        <is>
          <t>全额退保</t>
        </is>
      </c>
      <c r="B62" s="59" t="inlineStr">
        <is>
          <t>任意保单</t>
        </is>
      </c>
      <c r="C62" s="60" t="inlineStr">
        <is>
          <t>全部现金价值</t>
        </is>
      </c>
      <c r="D62" s="60" t="inlineStr">
        <is>
          <t>★立即退保损失 155.38 万（−30.7%）；泰康单张 −38.2%</t>
        </is>
      </c>
      <c r="E62" s="59" t="inlineStr">
        <is>
          <t>3–7 个工作日</t>
        </is>
      </c>
      <c r="F62" s="60" t="inlineStr">
        <is>
          <t>仅在极端情况下考虑</t>
        </is>
      </c>
      <c r="G62" s="41" t="n"/>
      <c r="H62" s="41" t="n"/>
      <c r="I62" s="41" t="n"/>
      <c r="J62" s="41" t="n"/>
      <c r="K62" s="41" t="n"/>
      <c r="L62" s="41" t="n"/>
      <c r="M62" s="41" t="n"/>
      <c r="N62" s="42" t="n"/>
    </row>
  </sheetData>
  <mergeCells count="27">
    <mergeCell ref="G43:N43"/>
    <mergeCell ref="F51:N51"/>
    <mergeCell ref="F50:N50"/>
    <mergeCell ref="G42:N42"/>
    <mergeCell ref="A1:N1"/>
    <mergeCell ref="F62:N62"/>
    <mergeCell ref="G39:N39"/>
    <mergeCell ref="B45:N45"/>
    <mergeCell ref="G38:N38"/>
    <mergeCell ref="F58:N58"/>
    <mergeCell ref="G37:N37"/>
    <mergeCell ref="F61:N61"/>
    <mergeCell ref="B54:N54"/>
    <mergeCell ref="F52:N52"/>
    <mergeCell ref="A56:N56"/>
    <mergeCell ref="A12:N12"/>
    <mergeCell ref="F60:N60"/>
    <mergeCell ref="F49:N49"/>
    <mergeCell ref="A2:N2"/>
    <mergeCell ref="A47:N47"/>
    <mergeCell ref="F53:N53"/>
    <mergeCell ref="A35:N35"/>
    <mergeCell ref="A4:N4"/>
    <mergeCell ref="G41:N41"/>
    <mergeCell ref="G44:N44"/>
    <mergeCell ref="G40:N40"/>
    <mergeCell ref="F59:N59"/>
  </mergeCells>
  <pageMargins left="0.75" right="0.75" top="1" bottom="1" header="0.5" footer="0.5"/>
</worksheet>
</file>

<file path=xl/worksheets/sheet4.xml><?xml version="1.0" encoding="utf-8"?>
<worksheet xmlns="http://schemas.openxmlformats.org/spreadsheetml/2006/main">
  <sheetPr>
    <tabColor rgb="FFBF8F00"/>
    <outlinePr summaryBelow="1" summaryRight="1"/>
    <pageSetUpPr/>
  </sheetPr>
  <dimension ref="A1:J36"/>
  <sheetViews>
    <sheetView workbookViewId="0">
      <pane ySplit="3" topLeftCell="A13" activePane="bottomLeft" state="frozen"/>
      <selection activeCell="A1" sqref="A1"/>
      <selection pane="bottomLeft" activeCell="E18" sqref="E18"/>
    </sheetView>
  </sheetViews>
  <sheetFormatPr baseColWidth="8" defaultColWidth="9" defaultRowHeight="14"/>
  <cols>
    <col width="10" customWidth="1" min="1" max="2"/>
    <col width="16" customWidth="1" min="3" max="3"/>
    <col width="18" customWidth="1" min="4" max="6"/>
    <col width="20" customWidth="1" min="7" max="8"/>
    <col width="12" customWidth="1" min="9" max="9"/>
    <col width="46" customWidth="1" min="10" max="10"/>
  </cols>
  <sheetData>
    <row r="1" ht="26" customHeight="1">
      <c r="A1" s="1" t="inlineStr">
        <is>
          <t>教育金专项规划（陆家嘴国泰恒泰尊享 3.0）</t>
        </is>
      </c>
    </row>
    <row r="2" ht="16" customHeight="1">
      <c r="A2" s="2" t="inlineStr">
        <is>
          <t>用途：保障女儿 Elysia 大学四年费用 ｜ 硬约束：条款 11.2 每年减保 ≤ 保单年度初基本保额的 20% ｜ 蓝色＝手工输入</t>
        </is>
      </c>
    </row>
    <row r="4" ht="20" customHeight="1">
      <c r="A4" s="3" t="inlineStr">
        <is>
          <t>一、规划参数</t>
        </is>
      </c>
    </row>
    <row r="5" ht="14.5" customHeight="1">
      <c r="A5" s="8" t="inlineStr">
        <is>
          <t>女儿当前年龄</t>
        </is>
      </c>
      <c r="B5" s="41" t="n"/>
      <c r="C5" s="42" t="n"/>
      <c r="D5" s="46" t="n">
        <v>16</v>
      </c>
      <c r="E5" s="11" t="inlineStr">
        <is>
          <t>手工输入</t>
        </is>
      </c>
      <c r="F5" s="41" t="n"/>
      <c r="G5" s="41" t="n"/>
      <c r="H5" s="41" t="n"/>
      <c r="I5" s="41" t="n"/>
      <c r="J5" s="42" t="n"/>
    </row>
    <row r="6" ht="14.5" customHeight="1">
      <c r="A6" s="8" t="inlineStr">
        <is>
          <t>预计入学年龄</t>
        </is>
      </c>
      <c r="B6" s="41" t="n"/>
      <c r="C6" s="42" t="n"/>
      <c r="D6" s="46" t="n">
        <v>18</v>
      </c>
      <c r="E6" s="11" t="inlineStr">
        <is>
          <t>手工输入</t>
        </is>
      </c>
      <c r="F6" s="41" t="n"/>
      <c r="G6" s="41" t="n"/>
      <c r="H6" s="41" t="n"/>
      <c r="I6" s="41" t="n"/>
      <c r="J6" s="42" t="n"/>
    </row>
    <row r="7" ht="14.5" customHeight="1">
      <c r="A7" s="8" t="inlineStr">
        <is>
          <t>大学年数（取现年数）</t>
        </is>
      </c>
      <c r="B7" s="41" t="n"/>
      <c r="C7" s="42" t="n"/>
      <c r="D7" s="46" t="n">
        <v>4</v>
      </c>
      <c r="E7" s="11" t="inlineStr">
        <is>
          <t>手工输入</t>
        </is>
      </c>
      <c r="F7" s="41" t="n"/>
      <c r="G7" s="41" t="n"/>
      <c r="H7" s="41" t="n"/>
      <c r="I7" s="41" t="n"/>
      <c r="J7" s="42" t="n"/>
    </row>
    <row r="8" ht="14.5" customHeight="1">
      <c r="A8" s="8" t="inlineStr">
        <is>
          <t>每年需求金额（元）</t>
        </is>
      </c>
      <c r="B8" s="41" t="n"/>
      <c r="C8" s="42" t="n"/>
      <c r="D8" s="116" t="n">
        <v>600000</v>
      </c>
      <c r="E8" s="11" t="inlineStr">
        <is>
          <t>★请按实际规划填写（国内约 3–8 万/年；海外约 30–60 万/年）</t>
        </is>
      </c>
      <c r="F8" s="41" t="n"/>
      <c r="G8" s="41" t="n"/>
      <c r="H8" s="41" t="n"/>
      <c r="I8" s="41" t="n"/>
      <c r="J8" s="42" t="n"/>
    </row>
    <row r="9" ht="14.5" customHeight="1">
      <c r="A9" s="8" t="inlineStr">
        <is>
          <t>保单基本保险金额（元）</t>
        </is>
      </c>
      <c r="B9" s="41" t="n"/>
      <c r="C9" s="42" t="n"/>
      <c r="D9" s="117" t="n">
        <v>1916479.81</v>
      </c>
      <c r="E9" s="11" t="inlineStr">
        <is>
          <t>取自保单：1,916,479.81 元</t>
        </is>
      </c>
      <c r="F9" s="41" t="n"/>
      <c r="G9" s="41" t="n"/>
      <c r="H9" s="41" t="n"/>
      <c r="I9" s="41" t="n"/>
      <c r="J9" s="42" t="n"/>
    </row>
    <row r="10" ht="14.5" customHeight="1">
      <c r="A10" s="8" t="inlineStr">
        <is>
          <t>当前现金价值（元）</t>
        </is>
      </c>
      <c r="B10" s="41" t="n"/>
      <c r="C10" s="42" t="n"/>
      <c r="D10" s="117" t="n">
        <v>1600567.28</v>
      </c>
      <c r="E10" s="11" t="inlineStr">
        <is>
          <t>2026-12 保单年度末值</t>
        </is>
      </c>
      <c r="F10" s="41" t="n"/>
      <c r="G10" s="41" t="n"/>
      <c r="H10" s="41" t="n"/>
      <c r="I10" s="41" t="n"/>
      <c r="J10" s="42" t="n"/>
    </row>
    <row r="11" ht="14.5" customHeight="1">
      <c r="A11" s="8" t="inlineStr">
        <is>
          <t>每年减保上限（比例）</t>
        </is>
      </c>
      <c r="B11" s="41" t="n"/>
      <c r="C11" s="42" t="n"/>
      <c r="D11" s="96" t="n">
        <v>0.2</v>
      </c>
      <c r="E11" s="11" t="inlineStr">
        <is>
          <t>条款 11.2：不得超过当年度初基本保险金额的 20%</t>
        </is>
      </c>
      <c r="F11" s="41" t="n"/>
      <c r="G11" s="41" t="n"/>
      <c r="H11" s="41" t="n"/>
      <c r="I11" s="41" t="n"/>
      <c r="J11" s="42" t="n"/>
    </row>
    <row r="12" ht="14.5" customHeight="1">
      <c r="A12" s="8" t="inlineStr">
        <is>
          <t>入学年份</t>
        </is>
      </c>
      <c r="B12" s="41" t="n"/>
      <c r="C12" s="42" t="n"/>
      <c r="D12" s="49" t="n">
        <v>2028</v>
      </c>
      <c r="E12" s="11" t="inlineStr">
        <is>
          <t>＝2026 ＋ 入学年龄 − 当前年龄</t>
        </is>
      </c>
      <c r="F12" s="41" t="n"/>
      <c r="G12" s="41" t="n"/>
      <c r="H12" s="41" t="n"/>
      <c r="I12" s="41" t="n"/>
      <c r="J12" s="42" t="n"/>
    </row>
    <row r="14" ht="20" customHeight="1">
      <c r="A14" s="3" t="inlineStr">
        <is>
          <t>二、逐年取现推演（在 20%/年 减保上限下，计算每年可提取金额）</t>
        </is>
      </c>
    </row>
    <row r="15" ht="30" customHeight="1">
      <c r="A15" s="7" t="inlineStr">
        <is>
          <t>年龄</t>
        </is>
      </c>
      <c r="B15" s="7" t="inlineStr">
        <is>
          <t>年份</t>
        </is>
      </c>
      <c r="C15" s="7" t="inlineStr">
        <is>
          <t>当年需求(元)</t>
        </is>
      </c>
      <c r="D15" s="7" t="inlineStr">
        <is>
          <t>不减保时现价(元)</t>
        </is>
      </c>
      <c r="E15" s="7" t="inlineStr">
        <is>
          <t>当年可取现(元)</t>
        </is>
      </c>
      <c r="F15" s="7" t="inlineStr">
        <is>
          <t>累计取现(元)</t>
        </is>
      </c>
      <c r="G15" s="7" t="inlineStr">
        <is>
          <t>减保后剩余保额比例</t>
        </is>
      </c>
      <c r="H15" s="7" t="inlineStr">
        <is>
          <t>当年末剩余现价(元)</t>
        </is>
      </c>
      <c r="I15" s="7" t="inlineStr">
        <is>
          <t>满足度</t>
        </is>
      </c>
      <c r="J15" s="7" t="inlineStr">
        <is>
          <t>提示</t>
        </is>
      </c>
    </row>
    <row r="16" ht="14.5" customHeight="1">
      <c r="A16" s="32">
        <f>$D$6</f>
        <v/>
      </c>
      <c r="B16" s="32">
        <f>$D$12</f>
        <v/>
      </c>
      <c r="C16" s="103">
        <f>IF(A16&gt;=$D$6+$D$7,0,$D$8)</f>
        <v/>
      </c>
      <c r="D16" s="118">
        <f>IFERROR(INDEX(保险权益与现金流!$E$14:$E$33,MATCH(B16,保险权益与现金流!$B$14:$B$33,0)),"")</f>
        <v/>
      </c>
      <c r="E16" s="114">
        <f>IF(C16=0,0,MIN(C16,$D$11*(1)*D16))</f>
        <v/>
      </c>
      <c r="F16" s="103">
        <f>E16</f>
        <v/>
      </c>
      <c r="G16" s="105">
        <f>IF(D16=0,1,1-E16/D16)</f>
        <v/>
      </c>
      <c r="H16" s="113">
        <f>IFERROR(G16*D16,"")</f>
        <v/>
      </c>
      <c r="I16" s="53">
        <f>IF(C16=0,"—",IF(E16&gt;=C16,"充足","不足"))</f>
        <v/>
      </c>
      <c r="J16" s="54">
        <f>IF(C16=0,"",IF(E16&lt;C16,"★当年受 20% 减保上限约束，缺口 "&amp;TEXT(C16-E16,"#,##0")&amp;" 元；建议提前 1–2 年开始减保或延长取现年份",""))</f>
        <v/>
      </c>
    </row>
    <row r="17" ht="14.5" customHeight="1">
      <c r="A17" s="32">
        <f>A16+1</f>
        <v/>
      </c>
      <c r="B17" s="32">
        <f>B16+1</f>
        <v/>
      </c>
      <c r="C17" s="103">
        <f>IF(A17&gt;=$D$6+$D$7,0,$D$8)</f>
        <v/>
      </c>
      <c r="D17" s="118">
        <f>IFERROR(INDEX(保险权益与现金流!$E$14:$E$33,MATCH(B17,保险权益与现金流!$B$14:$B$33,0)),"")</f>
        <v/>
      </c>
      <c r="E17" s="114">
        <f>IF(C17=0,0,MIN(C17,$D$11*(G16)*D17))</f>
        <v/>
      </c>
      <c r="F17" s="103">
        <f>F16+E17</f>
        <v/>
      </c>
      <c r="G17" s="105">
        <f>IF(D17=0,0,G16*(1-E17/D17))</f>
        <v/>
      </c>
      <c r="H17" s="113">
        <f>IFERROR(G17*D17,"")</f>
        <v/>
      </c>
      <c r="I17" s="53">
        <f>IF(C17=0,"—",IF(E17&gt;=C17,"充足","不足"))</f>
        <v/>
      </c>
      <c r="J17" s="54">
        <f>IF(C17=0,"",IF(E17&lt;C17,"★当年受 20% 减保上限约束，缺口 "&amp;TEXT(C17-E17,"#,##0")&amp;" 元；建议提前 1–2 年开始减保或延长取现年份",""))</f>
        <v/>
      </c>
    </row>
    <row r="18" ht="14.5" customHeight="1">
      <c r="A18" s="32">
        <f>A17+1</f>
        <v/>
      </c>
      <c r="B18" s="32">
        <f>B17+1</f>
        <v/>
      </c>
      <c r="C18" s="103">
        <f>IF(A18&gt;=$D$6+$D$7,0,$D$8)</f>
        <v/>
      </c>
      <c r="D18" s="118">
        <f>IFERROR(INDEX(保险权益与现金流!$E$14:$E$33,MATCH(B18,保险权益与现金流!$B$14:$B$33,0)),"")</f>
        <v/>
      </c>
      <c r="E18" s="114">
        <f>IF(C18=0,0,MIN(C18,$D$11*(G17)*D18))</f>
        <v/>
      </c>
      <c r="F18" s="103">
        <f>F17+E18</f>
        <v/>
      </c>
      <c r="G18" s="105">
        <f>IF(D18=0,0,G17*(1-E18/D18))</f>
        <v/>
      </c>
      <c r="H18" s="113">
        <f>IFERROR(G18*D18,"")</f>
        <v/>
      </c>
      <c r="I18" s="53">
        <f>IF(C18=0,"—",IF(E18&gt;=C18,"充足","不足"))</f>
        <v/>
      </c>
      <c r="J18" s="54">
        <f>IF(C18=0,"",IF(E18&lt;C18,"★当年受 20% 减保上限约束，缺口 "&amp;TEXT(C18-E18,"#,##0")&amp;" 元；建议提前 1–2 年开始减保或延长取现年份",""))</f>
        <v/>
      </c>
    </row>
    <row r="19" ht="14.5" customHeight="1">
      <c r="A19" s="32">
        <f>A18+1</f>
        <v/>
      </c>
      <c r="B19" s="32">
        <f>B18+1</f>
        <v/>
      </c>
      <c r="C19" s="103">
        <f>IF(A19&gt;=$D$6+$D$7,0,$D$8)</f>
        <v/>
      </c>
      <c r="D19" s="118">
        <f>IFERROR(INDEX(保险权益与现金流!$E$14:$E$33,MATCH(B19,保险权益与现金流!$B$14:$B$33,0)),"")</f>
        <v/>
      </c>
      <c r="E19" s="114">
        <f>IF(C19=0,0,MIN(C19,$D$11*(G18)*D19))</f>
        <v/>
      </c>
      <c r="F19" s="103">
        <f>F18+E19</f>
        <v/>
      </c>
      <c r="G19" s="105">
        <f>IF(D19=0,0,G18*(1-E19/D19))</f>
        <v/>
      </c>
      <c r="H19" s="113">
        <f>IFERROR(G19*D19,"")</f>
        <v/>
      </c>
      <c r="I19" s="53">
        <f>IF(C19=0,"—",IF(E19&gt;=C19,"充足","不足"))</f>
        <v/>
      </c>
      <c r="J19" s="54">
        <f>IF(C19=0,"",IF(E19&lt;C19,"★当年受 20% 减保上限约束，缺口 "&amp;TEXT(C19-E19,"#,##0")&amp;" 元；建议提前 1–2 年开始减保或延长取现年份",""))</f>
        <v/>
      </c>
    </row>
    <row r="20" ht="14.5" customHeight="1">
      <c r="A20" s="32">
        <f>A19+1</f>
        <v/>
      </c>
      <c r="B20" s="32">
        <f>B19+1</f>
        <v/>
      </c>
      <c r="C20" s="103">
        <f>IF(A20&gt;=$D$6+$D$7,0,$D$8)</f>
        <v/>
      </c>
      <c r="D20" s="118">
        <f>IFERROR(INDEX(保险权益与现金流!$E$14:$E$33,MATCH(B20,保险权益与现金流!$B$14:$B$33,0)),"")</f>
        <v/>
      </c>
      <c r="E20" s="114">
        <f>IF(C20=0,0,MIN(C20,$D$11*(G19)*D20))</f>
        <v/>
      </c>
      <c r="F20" s="103">
        <f>F19+E20</f>
        <v/>
      </c>
      <c r="G20" s="105">
        <f>IF(D20=0,0,G19*(1-E20/D20))</f>
        <v/>
      </c>
      <c r="H20" s="113">
        <f>IFERROR(G20*D20,"")</f>
        <v/>
      </c>
      <c r="I20" s="53">
        <f>IF(C20=0,"—",IF(E20&gt;=C20,"充足","不足"))</f>
        <v/>
      </c>
      <c r="J20" s="54">
        <f>IF(C20=0,"",IF(E20&lt;C20,"★当年受 20% 减保上限约束，缺口 "&amp;TEXT(C20-E20,"#,##0")&amp;" 元；建议提前 1–2 年开始减保或延长取现年份",""))</f>
        <v/>
      </c>
    </row>
    <row r="21" ht="14.5" customHeight="1">
      <c r="A21" s="32">
        <f>A20+1</f>
        <v/>
      </c>
      <c r="B21" s="32">
        <f>B20+1</f>
        <v/>
      </c>
      <c r="C21" s="103">
        <f>IF(A21&gt;=$D$6+$D$7,0,$D$8)</f>
        <v/>
      </c>
      <c r="D21" s="118">
        <f>IFERROR(INDEX(保险权益与现金流!$E$14:$E$33,MATCH(B21,保险权益与现金流!$B$14:$B$33,0)),"")</f>
        <v/>
      </c>
      <c r="E21" s="114">
        <f>IF(C21=0,0,MIN(C21,$D$11*(G20)*D21))</f>
        <v/>
      </c>
      <c r="F21" s="103">
        <f>F20+E21</f>
        <v/>
      </c>
      <c r="G21" s="105">
        <f>IF(D21=0,0,G20*(1-E21/D21))</f>
        <v/>
      </c>
      <c r="H21" s="113">
        <f>IFERROR(G21*D21,"")</f>
        <v/>
      </c>
      <c r="I21" s="53">
        <f>IF(C21=0,"—",IF(E21&gt;=C21,"充足","不足"))</f>
        <v/>
      </c>
      <c r="J21" s="54">
        <f>IF(C21=0,"",IF(E21&lt;C21,"★当年受 20% 减保上限约束，缺口 "&amp;TEXT(C21-E21,"#,##0")&amp;" 元；建议提前 1–2 年开始减保或延长取现年份",""))</f>
        <v/>
      </c>
    </row>
    <row r="23" ht="20" customHeight="1">
      <c r="A23" s="3" t="inlineStr">
        <is>
          <t>三、汇总与结论</t>
        </is>
      </c>
    </row>
    <row r="24" ht="14.5" customHeight="1">
      <c r="A24" s="8" t="inlineStr">
        <is>
          <t>大学期间总需求（元）</t>
        </is>
      </c>
      <c r="B24" s="41" t="n"/>
      <c r="C24" s="42" t="n"/>
      <c r="D24" s="119">
        <f>SUM(C16:C21)</f>
        <v/>
      </c>
      <c r="E24" s="15" t="inlineStr"/>
      <c r="F24" s="41" t="n"/>
      <c r="G24" s="41" t="n"/>
      <c r="H24" s="41" t="n"/>
      <c r="I24" s="41" t="n"/>
      <c r="J24" s="42" t="n"/>
    </row>
    <row r="25" ht="14.5" customHeight="1">
      <c r="A25" s="8" t="inlineStr">
        <is>
          <t>保单可覆盖金额（元）</t>
        </is>
      </c>
      <c r="B25" s="41" t="n"/>
      <c r="C25" s="42" t="n"/>
      <c r="D25" s="119">
        <f>SUM(E16:E21)</f>
        <v/>
      </c>
      <c r="E25" s="15" t="inlineStr"/>
      <c r="F25" s="41" t="n"/>
      <c r="G25" s="41" t="n"/>
      <c r="H25" s="41" t="n"/>
      <c r="I25" s="41" t="n"/>
      <c r="J25" s="42" t="n"/>
    </row>
    <row r="26" ht="14.5" customHeight="1">
      <c r="A26" s="8" t="inlineStr">
        <is>
          <t>资金缺口（＋）／盈余（－）（元）</t>
        </is>
      </c>
      <c r="B26" s="41" t="n"/>
      <c r="C26" s="42" t="n"/>
      <c r="D26" s="119">
        <f>D24-D25</f>
        <v/>
      </c>
      <c r="E26" s="15" t="inlineStr"/>
      <c r="F26" s="41" t="n"/>
      <c r="G26" s="41" t="n"/>
      <c r="H26" s="41" t="n"/>
      <c r="I26" s="41" t="n"/>
      <c r="J26" s="42" t="n"/>
    </row>
    <row r="27" ht="14.5" customHeight="1">
      <c r="A27" s="8" t="inlineStr">
        <is>
          <t>覆盖率</t>
        </is>
      </c>
      <c r="B27" s="41" t="n"/>
      <c r="C27" s="42" t="n"/>
      <c r="D27" s="120">
        <f>IFERROR(D25/D24,"")</f>
        <v/>
      </c>
      <c r="E27" s="15" t="inlineStr"/>
      <c r="F27" s="41" t="n"/>
      <c r="G27" s="41" t="n"/>
      <c r="H27" s="41" t="n"/>
      <c r="I27" s="41" t="n"/>
      <c r="J27" s="42" t="n"/>
    </row>
    <row r="28" ht="14.5" customHeight="1">
      <c r="A28" s="8" t="inlineStr">
        <is>
          <t>四年后仍保留保额比例</t>
        </is>
      </c>
      <c r="B28" s="41" t="n"/>
      <c r="C28" s="42" t="n"/>
      <c r="D28" s="120">
        <f>G21</f>
        <v/>
      </c>
      <c r="E28" s="15" t="inlineStr"/>
      <c r="F28" s="41" t="n"/>
      <c r="G28" s="41" t="n"/>
      <c r="H28" s="41" t="n"/>
      <c r="I28" s="41" t="n"/>
      <c r="J28" s="42" t="n"/>
    </row>
    <row r="29" ht="14.5" customHeight="1">
      <c r="A29" s="8" t="inlineStr">
        <is>
          <t>四年后仍保留现价（元）</t>
        </is>
      </c>
      <c r="B29" s="41" t="n"/>
      <c r="C29" s="42" t="n"/>
      <c r="D29" s="121">
        <f>H21</f>
        <v/>
      </c>
      <c r="E29" s="15" t="inlineStr"/>
      <c r="F29" s="41" t="n"/>
      <c r="G29" s="41" t="n"/>
      <c r="H29" s="41" t="n"/>
      <c r="I29" s="41" t="n"/>
      <c r="J29" s="42" t="n"/>
    </row>
    <row r="31" ht="30" customHeight="1">
      <c r="A31" s="58" t="inlineStr">
        <is>
          <t>① 现行「每年减保 ≤ 20% 基本保额」是可提取金额的硬约束：四年最多约 131 万元（按现行现价测算）。</t>
        </is>
      </c>
    </row>
    <row r="32" ht="30" customHeight="1">
      <c r="A32" s="58" t="inlineStr">
        <is>
          <t>② 若四年需求 ≤ 131 万元（约 32.7 万元/年以内），保单可全额覆盖，且四年后仍保留约 41% 保额与约 98 万元现价。</t>
        </is>
      </c>
    </row>
    <row r="33" ht="30" customHeight="1">
      <c r="A33" s="58" t="inlineStr">
        <is>
          <t>③ 若为海外留学（约 30–60 万元/年），四年需求 120–240 万元，将接近或超过上限——需提前 1–2 年（女儿 16–17 岁）就开始减保，或延长取现至第 5–6 年。</t>
        </is>
      </c>
    </row>
    <row r="34" ht="30" customHeight="1">
      <c r="A34" s="6" t="inlineStr">
        <is>
          <t>④ 备选工具：① 保单贷款（现价×80%，单次≤6 个月）；② 其他资产（现金 155 万、高毅晓峰 151 万）；③ 不建议对泰康年金减保，会直接削减退休现金流。</t>
        </is>
      </c>
    </row>
    <row r="35" ht="30" customHeight="1">
      <c r="A35" s="6" t="inlineStr">
        <is>
          <t>⑤ 本保单被保人是女儿、投保人（现价归属人）是杜岩松。★建议立即在条款 §9 设置「第二投保人」，否则投保人身故时现价将进入遗产处理，产生不必要的纠纷与费用。</t>
        </is>
      </c>
    </row>
    <row r="36" ht="30" customHeight="1">
      <c r="A36" s="6" t="inlineStr">
        <is>
          <t>⑥ 本表「当年可取现」已按条款上限计算；若实际需要超过上限，请在「提示」列查看缺口，并在参数区调整取现年数或年需求。</t>
        </is>
      </c>
    </row>
  </sheetData>
  <mergeCells count="39">
    <mergeCell ref="A25:C25"/>
    <mergeCell ref="A23:J23"/>
    <mergeCell ref="A32:J32"/>
    <mergeCell ref="A14:J14"/>
    <mergeCell ref="E10:J10"/>
    <mergeCell ref="E28:J28"/>
    <mergeCell ref="E9:J9"/>
    <mergeCell ref="A27:C27"/>
    <mergeCell ref="A4:J4"/>
    <mergeCell ref="A35:J35"/>
    <mergeCell ref="A12:C12"/>
    <mergeCell ref="E6:J6"/>
    <mergeCell ref="A26:C26"/>
    <mergeCell ref="E11:J11"/>
    <mergeCell ref="A31:J31"/>
    <mergeCell ref="A5:C5"/>
    <mergeCell ref="A8:C8"/>
    <mergeCell ref="E27:J27"/>
    <mergeCell ref="A34:J34"/>
    <mergeCell ref="E26:J26"/>
    <mergeCell ref="A29:C29"/>
    <mergeCell ref="E7:J7"/>
    <mergeCell ref="A10:C10"/>
    <mergeCell ref="E25:J25"/>
    <mergeCell ref="A1:J1"/>
    <mergeCell ref="A28:C28"/>
    <mergeCell ref="E29:J29"/>
    <mergeCell ref="A36:J36"/>
    <mergeCell ref="A9:C9"/>
    <mergeCell ref="E12:J12"/>
    <mergeCell ref="A24:C24"/>
    <mergeCell ref="A11:C11"/>
    <mergeCell ref="E24:J24"/>
    <mergeCell ref="E5:J5"/>
    <mergeCell ref="A6:C6"/>
    <mergeCell ref="E8:J8"/>
    <mergeCell ref="A2:J2"/>
    <mergeCell ref="A7:C7"/>
    <mergeCell ref="A33:J33"/>
  </mergeCells>
  <pageMargins left="0.75" right="0.75" top="1" bottom="1" header="0.5" footer="0.5"/>
</worksheet>
</file>

<file path=xl/worksheets/sheet5.xml><?xml version="1.0" encoding="utf-8"?>
<worksheet xmlns="http://schemas.openxmlformats.org/spreadsheetml/2006/main">
  <sheetPr>
    <tabColor rgb="FF548235"/>
    <outlinePr summaryBelow="1" summaryRight="1"/>
    <pageSetUpPr/>
  </sheetPr>
  <dimension ref="A1:N44"/>
  <sheetViews>
    <sheetView workbookViewId="0">
      <pane xSplit="1" ySplit="5" topLeftCell="B29" activePane="bottomRight" state="frozen"/>
      <selection activeCell="A1" sqref="A1"/>
      <selection pane="topRight" activeCell="A1" sqref="A1"/>
      <selection pane="bottomLeft" activeCell="A1" sqref="A1"/>
      <selection pane="bottomRight" activeCell="A1" sqref="A1:N1"/>
    </sheetView>
  </sheetViews>
  <sheetFormatPr baseColWidth="8" defaultColWidth="9" defaultRowHeight="14"/>
  <cols>
    <col width="11" customWidth="1" min="1" max="1"/>
    <col width="13" customWidth="1" min="2" max="4"/>
    <col width="14" customWidth="1" min="5" max="5"/>
    <col width="13" customWidth="1" min="6" max="10"/>
    <col width="14" customWidth="1" min="11" max="12"/>
    <col width="10" customWidth="1" min="13" max="13"/>
    <col width="14" customWidth="1" min="14" max="14"/>
  </cols>
  <sheetData>
    <row r="1" ht="26" customHeight="1">
      <c r="A1" s="1" t="inlineStr">
        <is>
          <t>月度收支记账表</t>
        </is>
      </c>
    </row>
    <row r="2" ht="16" customHeight="1">
      <c r="A2" s="2" t="inlineStr">
        <is>
          <t>金额单位：人民币元；月度行自动汇总自「收支流水」；蓝色字体＝手工输入</t>
        </is>
      </c>
    </row>
    <row r="4" ht="20" customHeight="1">
      <c r="A4" s="3" t="inlineStr">
        <is>
          <t>一、月度收支汇总（自动汇总）</t>
        </is>
      </c>
    </row>
    <row r="5" ht="30" customHeight="1">
      <c r="A5" s="7" t="inlineStr">
        <is>
          <t>月份</t>
        </is>
      </c>
      <c r="B5" s="7" t="inlineStr">
        <is>
          <t>工资收入</t>
        </is>
      </c>
      <c r="C5" s="7" t="inlineStr">
        <is>
          <t>投资收益</t>
        </is>
      </c>
      <c r="D5" s="7" t="inlineStr">
        <is>
          <t>其他收入</t>
        </is>
      </c>
      <c r="E5" s="7" t="inlineStr">
        <is>
          <t>收入合计</t>
        </is>
      </c>
      <c r="F5" s="7" t="inlineStr">
        <is>
          <t>生活支出</t>
        </is>
      </c>
      <c r="G5" s="7" t="inlineStr">
        <is>
          <t>房贷/租金</t>
        </is>
      </c>
      <c r="H5" s="7" t="inlineStr">
        <is>
          <t>教育支出</t>
        </is>
      </c>
      <c r="I5" s="7" t="inlineStr">
        <is>
          <t>保险支出</t>
        </is>
      </c>
      <c r="J5" s="7" t="inlineStr">
        <is>
          <t>其他支出</t>
        </is>
      </c>
      <c r="K5" s="7" t="inlineStr">
        <is>
          <t>支出合计</t>
        </is>
      </c>
      <c r="L5" s="7" t="inlineStr">
        <is>
          <t>当月结余</t>
        </is>
      </c>
      <c r="M5" s="7" t="inlineStr">
        <is>
          <t>储蓄率</t>
        </is>
      </c>
      <c r="N5" s="7" t="inlineStr">
        <is>
          <t>累计结余</t>
        </is>
      </c>
    </row>
    <row r="6" ht="14.5" customHeight="1">
      <c r="A6" s="122" t="n">
        <v>46266</v>
      </c>
      <c r="B6" s="123">
        <f>SUMIFS(收支流水!$E$4:$E$303,收支流水!$B$4:$B$303,"收入",收支流水!$C$4:$C$303,B$5,收支流水!$A$4:$A$303,"&gt;="&amp;$A6,收支流水!$A$4:$A$303,"&lt;"&amp;EDATE($A6,1))</f>
        <v/>
      </c>
      <c r="C6" s="123">
        <f>SUMIFS(收支流水!$E$4:$E$303,收支流水!$B$4:$B$303,"收入",收支流水!$C$4:$C$303,C$5,收支流水!$A$4:$A$303,"&gt;="&amp;$A6,收支流水!$A$4:$A$303,"&lt;"&amp;EDATE($A6,1))</f>
        <v/>
      </c>
      <c r="D6" s="123">
        <f>SUMIFS(收支流水!$E$4:$E$303,收支流水!$B$4:$B$303,"收入",收支流水!$C$4:$C$303,D$5,收支流水!$A$4:$A$303,"&gt;="&amp;$A6,收支流水!$A$4:$A$303,"&lt;"&amp;EDATE($A6,1))</f>
        <v/>
      </c>
      <c r="E6" s="103">
        <f>SUM(B6:D6)</f>
        <v/>
      </c>
      <c r="F6" s="123">
        <f>SUMIFS(收支流水!$E$4:$E$303,收支流水!$B$4:$B$303,"支出",收支流水!$C$4:$C$303,F$5,收支流水!$A$4:$A$303,"&gt;="&amp;$A6,收支流水!$A$4:$A$303,"&lt;"&amp;EDATE($A6,1))</f>
        <v/>
      </c>
      <c r="G6" s="123">
        <f>SUMIFS(收支流水!$E$4:$E$303,收支流水!$B$4:$B$303,"支出",收支流水!$C$4:$C$303,G$5,收支流水!$A$4:$A$303,"&gt;="&amp;$A6,收支流水!$A$4:$A$303,"&lt;"&amp;EDATE($A6,1))</f>
        <v/>
      </c>
      <c r="H6" s="123">
        <f>SUMIFS(收支流水!$E$4:$E$303,收支流水!$B$4:$B$303,"支出",收支流水!$C$4:$C$303,H$5,收支流水!$A$4:$A$303,"&gt;="&amp;$A6,收支流水!$A$4:$A$303,"&lt;"&amp;EDATE($A6,1))</f>
        <v/>
      </c>
      <c r="I6" s="123">
        <f>SUMIFS(收支流水!$E$4:$E$303,收支流水!$B$4:$B$303,"支出",收支流水!$C$4:$C$303,I$5,收支流水!$A$4:$A$303,"&gt;="&amp;$A6,收支流水!$A$4:$A$303,"&lt;"&amp;EDATE($A6,1))</f>
        <v/>
      </c>
      <c r="J6" s="123">
        <f>SUMIFS(收支流水!$E$4:$E$303,收支流水!$B$4:$B$303,"支出",收支流水!$C$4:$C$303,J$5,收支流水!$A$4:$A$303,"&gt;="&amp;$A6,收支流水!$A$4:$A$303,"&lt;"&amp;EDATE($A6,1))</f>
        <v/>
      </c>
      <c r="K6" s="103">
        <f>SUM(F6:J6)</f>
        <v/>
      </c>
      <c r="L6" s="103">
        <f>E6-K6</f>
        <v/>
      </c>
      <c r="M6" s="105">
        <f>IF(E6=0,"",L6/E6)</f>
        <v/>
      </c>
      <c r="N6" s="103">
        <f>L6</f>
        <v/>
      </c>
    </row>
    <row r="7" ht="14.5" customHeight="1">
      <c r="A7" s="122" t="n">
        <v>46296</v>
      </c>
      <c r="B7" s="123">
        <f>SUMIFS(收支流水!$E$4:$E$303,收支流水!$B$4:$B$303,"收入",收支流水!$C$4:$C$303,B$5,收支流水!$A$4:$A$303,"&gt;="&amp;$A7,收支流水!$A$4:$A$303,"&lt;"&amp;EDATE($A7,1))</f>
        <v/>
      </c>
      <c r="C7" s="123">
        <f>SUMIFS(收支流水!$E$4:$E$303,收支流水!$B$4:$B$303,"收入",收支流水!$C$4:$C$303,C$5,收支流水!$A$4:$A$303,"&gt;="&amp;$A7,收支流水!$A$4:$A$303,"&lt;"&amp;EDATE($A7,1))</f>
        <v/>
      </c>
      <c r="D7" s="123">
        <f>SUMIFS(收支流水!$E$4:$E$303,收支流水!$B$4:$B$303,"收入",收支流水!$C$4:$C$303,D$5,收支流水!$A$4:$A$303,"&gt;="&amp;$A7,收支流水!$A$4:$A$303,"&lt;"&amp;EDATE($A7,1))</f>
        <v/>
      </c>
      <c r="E7" s="103">
        <f>SUM(B7:D7)</f>
        <v/>
      </c>
      <c r="F7" s="123">
        <f>SUMIFS(收支流水!$E$4:$E$303,收支流水!$B$4:$B$303,"支出",收支流水!$C$4:$C$303,F$5,收支流水!$A$4:$A$303,"&gt;="&amp;$A7,收支流水!$A$4:$A$303,"&lt;"&amp;EDATE($A7,1))</f>
        <v/>
      </c>
      <c r="G7" s="123">
        <f>SUMIFS(收支流水!$E$4:$E$303,收支流水!$B$4:$B$303,"支出",收支流水!$C$4:$C$303,G$5,收支流水!$A$4:$A$303,"&gt;="&amp;$A7,收支流水!$A$4:$A$303,"&lt;"&amp;EDATE($A7,1))</f>
        <v/>
      </c>
      <c r="H7" s="123">
        <f>SUMIFS(收支流水!$E$4:$E$303,收支流水!$B$4:$B$303,"支出",收支流水!$C$4:$C$303,H$5,收支流水!$A$4:$A$303,"&gt;="&amp;$A7,收支流水!$A$4:$A$303,"&lt;"&amp;EDATE($A7,1))</f>
        <v/>
      </c>
      <c r="I7" s="123">
        <f>SUMIFS(收支流水!$E$4:$E$303,收支流水!$B$4:$B$303,"支出",收支流水!$C$4:$C$303,I$5,收支流水!$A$4:$A$303,"&gt;="&amp;$A7,收支流水!$A$4:$A$303,"&lt;"&amp;EDATE($A7,1))</f>
        <v/>
      </c>
      <c r="J7" s="123">
        <f>SUMIFS(收支流水!$E$4:$E$303,收支流水!$B$4:$B$303,"支出",收支流水!$C$4:$C$303,J$5,收支流水!$A$4:$A$303,"&gt;="&amp;$A7,收支流水!$A$4:$A$303,"&lt;"&amp;EDATE($A7,1))</f>
        <v/>
      </c>
      <c r="K7" s="103">
        <f>SUM(F7:J7)</f>
        <v/>
      </c>
      <c r="L7" s="103">
        <f>E7-K7</f>
        <v/>
      </c>
      <c r="M7" s="105">
        <f>IF(E7=0,"",L7/E7)</f>
        <v/>
      </c>
      <c r="N7" s="103">
        <f>N6+L7</f>
        <v/>
      </c>
    </row>
    <row r="8" ht="14.5" customHeight="1">
      <c r="A8" s="122" t="n">
        <v>46327</v>
      </c>
      <c r="B8" s="123">
        <f>SUMIFS(收支流水!$E$4:$E$303,收支流水!$B$4:$B$303,"收入",收支流水!$C$4:$C$303,B$5,收支流水!$A$4:$A$303,"&gt;="&amp;$A8,收支流水!$A$4:$A$303,"&lt;"&amp;EDATE($A8,1))</f>
        <v/>
      </c>
      <c r="C8" s="123">
        <f>SUMIFS(收支流水!$E$4:$E$303,收支流水!$B$4:$B$303,"收入",收支流水!$C$4:$C$303,C$5,收支流水!$A$4:$A$303,"&gt;="&amp;$A8,收支流水!$A$4:$A$303,"&lt;"&amp;EDATE($A8,1))</f>
        <v/>
      </c>
      <c r="D8" s="123">
        <f>SUMIFS(收支流水!$E$4:$E$303,收支流水!$B$4:$B$303,"收入",收支流水!$C$4:$C$303,D$5,收支流水!$A$4:$A$303,"&gt;="&amp;$A8,收支流水!$A$4:$A$303,"&lt;"&amp;EDATE($A8,1))</f>
        <v/>
      </c>
      <c r="E8" s="103">
        <f>SUM(B8:D8)</f>
        <v/>
      </c>
      <c r="F8" s="123">
        <f>SUMIFS(收支流水!$E$4:$E$303,收支流水!$B$4:$B$303,"支出",收支流水!$C$4:$C$303,F$5,收支流水!$A$4:$A$303,"&gt;="&amp;$A8,收支流水!$A$4:$A$303,"&lt;"&amp;EDATE($A8,1))</f>
        <v/>
      </c>
      <c r="G8" s="123">
        <f>SUMIFS(收支流水!$E$4:$E$303,收支流水!$B$4:$B$303,"支出",收支流水!$C$4:$C$303,G$5,收支流水!$A$4:$A$303,"&gt;="&amp;$A8,收支流水!$A$4:$A$303,"&lt;"&amp;EDATE($A8,1))</f>
        <v/>
      </c>
      <c r="H8" s="123">
        <f>SUMIFS(收支流水!$E$4:$E$303,收支流水!$B$4:$B$303,"支出",收支流水!$C$4:$C$303,H$5,收支流水!$A$4:$A$303,"&gt;="&amp;$A8,收支流水!$A$4:$A$303,"&lt;"&amp;EDATE($A8,1))</f>
        <v/>
      </c>
      <c r="I8" s="123">
        <f>SUMIFS(收支流水!$E$4:$E$303,收支流水!$B$4:$B$303,"支出",收支流水!$C$4:$C$303,I$5,收支流水!$A$4:$A$303,"&gt;="&amp;$A8,收支流水!$A$4:$A$303,"&lt;"&amp;EDATE($A8,1))</f>
        <v/>
      </c>
      <c r="J8" s="123">
        <f>SUMIFS(收支流水!$E$4:$E$303,收支流水!$B$4:$B$303,"支出",收支流水!$C$4:$C$303,J$5,收支流水!$A$4:$A$303,"&gt;="&amp;$A8,收支流水!$A$4:$A$303,"&lt;"&amp;EDATE($A8,1))</f>
        <v/>
      </c>
      <c r="K8" s="103">
        <f>SUM(F8:J8)</f>
        <v/>
      </c>
      <c r="L8" s="103">
        <f>E8-K8</f>
        <v/>
      </c>
      <c r="M8" s="105">
        <f>IF(E8=0,"",L8/E8)</f>
        <v/>
      </c>
      <c r="N8" s="103">
        <f>N7+L8</f>
        <v/>
      </c>
    </row>
    <row r="9" ht="14.5" customHeight="1">
      <c r="A9" s="122" t="n">
        <v>46357</v>
      </c>
      <c r="B9" s="123">
        <f>SUMIFS(收支流水!$E$4:$E$303,收支流水!$B$4:$B$303,"收入",收支流水!$C$4:$C$303,B$5,收支流水!$A$4:$A$303,"&gt;="&amp;$A9,收支流水!$A$4:$A$303,"&lt;"&amp;EDATE($A9,1))</f>
        <v/>
      </c>
      <c r="C9" s="123">
        <f>SUMIFS(收支流水!$E$4:$E$303,收支流水!$B$4:$B$303,"收入",收支流水!$C$4:$C$303,C$5,收支流水!$A$4:$A$303,"&gt;="&amp;$A9,收支流水!$A$4:$A$303,"&lt;"&amp;EDATE($A9,1))</f>
        <v/>
      </c>
      <c r="D9" s="123">
        <f>SUMIFS(收支流水!$E$4:$E$303,收支流水!$B$4:$B$303,"收入",收支流水!$C$4:$C$303,D$5,收支流水!$A$4:$A$303,"&gt;="&amp;$A9,收支流水!$A$4:$A$303,"&lt;"&amp;EDATE($A9,1))</f>
        <v/>
      </c>
      <c r="E9" s="103">
        <f>SUM(B9:D9)</f>
        <v/>
      </c>
      <c r="F9" s="123">
        <f>SUMIFS(收支流水!$E$4:$E$303,收支流水!$B$4:$B$303,"支出",收支流水!$C$4:$C$303,F$5,收支流水!$A$4:$A$303,"&gt;="&amp;$A9,收支流水!$A$4:$A$303,"&lt;"&amp;EDATE($A9,1))</f>
        <v/>
      </c>
      <c r="G9" s="123">
        <f>SUMIFS(收支流水!$E$4:$E$303,收支流水!$B$4:$B$303,"支出",收支流水!$C$4:$C$303,G$5,收支流水!$A$4:$A$303,"&gt;="&amp;$A9,收支流水!$A$4:$A$303,"&lt;"&amp;EDATE($A9,1))</f>
        <v/>
      </c>
      <c r="H9" s="123">
        <f>SUMIFS(收支流水!$E$4:$E$303,收支流水!$B$4:$B$303,"支出",收支流水!$C$4:$C$303,H$5,收支流水!$A$4:$A$303,"&gt;="&amp;$A9,收支流水!$A$4:$A$303,"&lt;"&amp;EDATE($A9,1))</f>
        <v/>
      </c>
      <c r="I9" s="123">
        <f>SUMIFS(收支流水!$E$4:$E$303,收支流水!$B$4:$B$303,"支出",收支流水!$C$4:$C$303,I$5,收支流水!$A$4:$A$303,"&gt;="&amp;$A9,收支流水!$A$4:$A$303,"&lt;"&amp;EDATE($A9,1))</f>
        <v/>
      </c>
      <c r="J9" s="123">
        <f>SUMIFS(收支流水!$E$4:$E$303,收支流水!$B$4:$B$303,"支出",收支流水!$C$4:$C$303,J$5,收支流水!$A$4:$A$303,"&gt;="&amp;$A9,收支流水!$A$4:$A$303,"&lt;"&amp;EDATE($A9,1))</f>
        <v/>
      </c>
      <c r="K9" s="103">
        <f>SUM(F9:J9)</f>
        <v/>
      </c>
      <c r="L9" s="103">
        <f>E9-K9</f>
        <v/>
      </c>
      <c r="M9" s="105">
        <f>IF(E9=0,"",L9/E9)</f>
        <v/>
      </c>
      <c r="N9" s="103">
        <f>N8+L9</f>
        <v/>
      </c>
    </row>
    <row r="10" ht="14.5" customHeight="1">
      <c r="A10" s="122" t="n">
        <v>46388</v>
      </c>
      <c r="B10" s="123">
        <f>SUMIFS(收支流水!$E$4:$E$303,收支流水!$B$4:$B$303,"收入",收支流水!$C$4:$C$303,B$5,收支流水!$A$4:$A$303,"&gt;="&amp;$A10,收支流水!$A$4:$A$303,"&lt;"&amp;EDATE($A10,1))</f>
        <v/>
      </c>
      <c r="C10" s="123">
        <f>SUMIFS(收支流水!$E$4:$E$303,收支流水!$B$4:$B$303,"收入",收支流水!$C$4:$C$303,C$5,收支流水!$A$4:$A$303,"&gt;="&amp;$A10,收支流水!$A$4:$A$303,"&lt;"&amp;EDATE($A10,1))</f>
        <v/>
      </c>
      <c r="D10" s="123">
        <f>SUMIFS(收支流水!$E$4:$E$303,收支流水!$B$4:$B$303,"收入",收支流水!$C$4:$C$303,D$5,收支流水!$A$4:$A$303,"&gt;="&amp;$A10,收支流水!$A$4:$A$303,"&lt;"&amp;EDATE($A10,1))</f>
        <v/>
      </c>
      <c r="E10" s="103">
        <f>SUM(B10:D10)</f>
        <v/>
      </c>
      <c r="F10" s="123">
        <f>SUMIFS(收支流水!$E$4:$E$303,收支流水!$B$4:$B$303,"支出",收支流水!$C$4:$C$303,F$5,收支流水!$A$4:$A$303,"&gt;="&amp;$A10,收支流水!$A$4:$A$303,"&lt;"&amp;EDATE($A10,1))</f>
        <v/>
      </c>
      <c r="G10" s="123">
        <f>SUMIFS(收支流水!$E$4:$E$303,收支流水!$B$4:$B$303,"支出",收支流水!$C$4:$C$303,G$5,收支流水!$A$4:$A$303,"&gt;="&amp;$A10,收支流水!$A$4:$A$303,"&lt;"&amp;EDATE($A10,1))</f>
        <v/>
      </c>
      <c r="H10" s="123">
        <f>SUMIFS(收支流水!$E$4:$E$303,收支流水!$B$4:$B$303,"支出",收支流水!$C$4:$C$303,H$5,收支流水!$A$4:$A$303,"&gt;="&amp;$A10,收支流水!$A$4:$A$303,"&lt;"&amp;EDATE($A10,1))</f>
        <v/>
      </c>
      <c r="I10" s="123">
        <f>SUMIFS(收支流水!$E$4:$E$303,收支流水!$B$4:$B$303,"支出",收支流水!$C$4:$C$303,I$5,收支流水!$A$4:$A$303,"&gt;="&amp;$A10,收支流水!$A$4:$A$303,"&lt;"&amp;EDATE($A10,1))</f>
        <v/>
      </c>
      <c r="J10" s="123">
        <f>SUMIFS(收支流水!$E$4:$E$303,收支流水!$B$4:$B$303,"支出",收支流水!$C$4:$C$303,J$5,收支流水!$A$4:$A$303,"&gt;="&amp;$A10,收支流水!$A$4:$A$303,"&lt;"&amp;EDATE($A10,1))</f>
        <v/>
      </c>
      <c r="K10" s="103">
        <f>SUM(F10:J10)</f>
        <v/>
      </c>
      <c r="L10" s="103">
        <f>E10-K10</f>
        <v/>
      </c>
      <c r="M10" s="105">
        <f>IF(E10=0,"",L10/E10)</f>
        <v/>
      </c>
      <c r="N10" s="103">
        <f>N9+L10</f>
        <v/>
      </c>
    </row>
    <row r="11" ht="14.5" customHeight="1">
      <c r="A11" s="122" t="n">
        <v>46419</v>
      </c>
      <c r="B11" s="123">
        <f>SUMIFS(收支流水!$E$4:$E$303,收支流水!$B$4:$B$303,"收入",收支流水!$C$4:$C$303,B$5,收支流水!$A$4:$A$303,"&gt;="&amp;$A11,收支流水!$A$4:$A$303,"&lt;"&amp;EDATE($A11,1))</f>
        <v/>
      </c>
      <c r="C11" s="123">
        <f>SUMIFS(收支流水!$E$4:$E$303,收支流水!$B$4:$B$303,"收入",收支流水!$C$4:$C$303,C$5,收支流水!$A$4:$A$303,"&gt;="&amp;$A11,收支流水!$A$4:$A$303,"&lt;"&amp;EDATE($A11,1))</f>
        <v/>
      </c>
      <c r="D11" s="123">
        <f>SUMIFS(收支流水!$E$4:$E$303,收支流水!$B$4:$B$303,"收入",收支流水!$C$4:$C$303,D$5,收支流水!$A$4:$A$303,"&gt;="&amp;$A11,收支流水!$A$4:$A$303,"&lt;"&amp;EDATE($A11,1))</f>
        <v/>
      </c>
      <c r="E11" s="103">
        <f>SUM(B11:D11)</f>
        <v/>
      </c>
      <c r="F11" s="123">
        <f>SUMIFS(收支流水!$E$4:$E$303,收支流水!$B$4:$B$303,"支出",收支流水!$C$4:$C$303,F$5,收支流水!$A$4:$A$303,"&gt;="&amp;$A11,收支流水!$A$4:$A$303,"&lt;"&amp;EDATE($A11,1))</f>
        <v/>
      </c>
      <c r="G11" s="123">
        <f>SUMIFS(收支流水!$E$4:$E$303,收支流水!$B$4:$B$303,"支出",收支流水!$C$4:$C$303,G$5,收支流水!$A$4:$A$303,"&gt;="&amp;$A11,收支流水!$A$4:$A$303,"&lt;"&amp;EDATE($A11,1))</f>
        <v/>
      </c>
      <c r="H11" s="123">
        <f>SUMIFS(收支流水!$E$4:$E$303,收支流水!$B$4:$B$303,"支出",收支流水!$C$4:$C$303,H$5,收支流水!$A$4:$A$303,"&gt;="&amp;$A11,收支流水!$A$4:$A$303,"&lt;"&amp;EDATE($A11,1))</f>
        <v/>
      </c>
      <c r="I11" s="123">
        <f>SUMIFS(收支流水!$E$4:$E$303,收支流水!$B$4:$B$303,"支出",收支流水!$C$4:$C$303,I$5,收支流水!$A$4:$A$303,"&gt;="&amp;$A11,收支流水!$A$4:$A$303,"&lt;"&amp;EDATE($A11,1))</f>
        <v/>
      </c>
      <c r="J11" s="123">
        <f>SUMIFS(收支流水!$E$4:$E$303,收支流水!$B$4:$B$303,"支出",收支流水!$C$4:$C$303,J$5,收支流水!$A$4:$A$303,"&gt;="&amp;$A11,收支流水!$A$4:$A$303,"&lt;"&amp;EDATE($A11,1))</f>
        <v/>
      </c>
      <c r="K11" s="103">
        <f>SUM(F11:J11)</f>
        <v/>
      </c>
      <c r="L11" s="103">
        <f>E11-K11</f>
        <v/>
      </c>
      <c r="M11" s="105">
        <f>IF(E11=0,"",L11/E11)</f>
        <v/>
      </c>
      <c r="N11" s="103">
        <f>N10+L11</f>
        <v/>
      </c>
    </row>
    <row r="12" ht="14.5" customHeight="1">
      <c r="A12" s="122" t="n">
        <v>46447</v>
      </c>
      <c r="B12" s="123">
        <f>SUMIFS(收支流水!$E$4:$E$303,收支流水!$B$4:$B$303,"收入",收支流水!$C$4:$C$303,B$5,收支流水!$A$4:$A$303,"&gt;="&amp;$A12,收支流水!$A$4:$A$303,"&lt;"&amp;EDATE($A12,1))</f>
        <v/>
      </c>
      <c r="C12" s="123">
        <f>SUMIFS(收支流水!$E$4:$E$303,收支流水!$B$4:$B$303,"收入",收支流水!$C$4:$C$303,C$5,收支流水!$A$4:$A$303,"&gt;="&amp;$A12,收支流水!$A$4:$A$303,"&lt;"&amp;EDATE($A12,1))</f>
        <v/>
      </c>
      <c r="D12" s="123">
        <f>SUMIFS(收支流水!$E$4:$E$303,收支流水!$B$4:$B$303,"收入",收支流水!$C$4:$C$303,D$5,收支流水!$A$4:$A$303,"&gt;="&amp;$A12,收支流水!$A$4:$A$303,"&lt;"&amp;EDATE($A12,1))</f>
        <v/>
      </c>
      <c r="E12" s="103">
        <f>SUM(B12:D12)</f>
        <v/>
      </c>
      <c r="F12" s="123">
        <f>SUMIFS(收支流水!$E$4:$E$303,收支流水!$B$4:$B$303,"支出",收支流水!$C$4:$C$303,F$5,收支流水!$A$4:$A$303,"&gt;="&amp;$A12,收支流水!$A$4:$A$303,"&lt;"&amp;EDATE($A12,1))</f>
        <v/>
      </c>
      <c r="G12" s="123">
        <f>SUMIFS(收支流水!$E$4:$E$303,收支流水!$B$4:$B$303,"支出",收支流水!$C$4:$C$303,G$5,收支流水!$A$4:$A$303,"&gt;="&amp;$A12,收支流水!$A$4:$A$303,"&lt;"&amp;EDATE($A12,1))</f>
        <v/>
      </c>
      <c r="H12" s="123">
        <f>SUMIFS(收支流水!$E$4:$E$303,收支流水!$B$4:$B$303,"支出",收支流水!$C$4:$C$303,H$5,收支流水!$A$4:$A$303,"&gt;="&amp;$A12,收支流水!$A$4:$A$303,"&lt;"&amp;EDATE($A12,1))</f>
        <v/>
      </c>
      <c r="I12" s="123">
        <f>SUMIFS(收支流水!$E$4:$E$303,收支流水!$B$4:$B$303,"支出",收支流水!$C$4:$C$303,I$5,收支流水!$A$4:$A$303,"&gt;="&amp;$A12,收支流水!$A$4:$A$303,"&lt;"&amp;EDATE($A12,1))</f>
        <v/>
      </c>
      <c r="J12" s="123">
        <f>SUMIFS(收支流水!$E$4:$E$303,收支流水!$B$4:$B$303,"支出",收支流水!$C$4:$C$303,J$5,收支流水!$A$4:$A$303,"&gt;="&amp;$A12,收支流水!$A$4:$A$303,"&lt;"&amp;EDATE($A12,1))</f>
        <v/>
      </c>
      <c r="K12" s="103">
        <f>SUM(F12:J12)</f>
        <v/>
      </c>
      <c r="L12" s="103">
        <f>E12-K12</f>
        <v/>
      </c>
      <c r="M12" s="105">
        <f>IF(E12=0,"",L12/E12)</f>
        <v/>
      </c>
      <c r="N12" s="103">
        <f>N11+L12</f>
        <v/>
      </c>
    </row>
    <row r="13" ht="14.5" customHeight="1">
      <c r="A13" s="122" t="n">
        <v>46478</v>
      </c>
      <c r="B13" s="123">
        <f>SUMIFS(收支流水!$E$4:$E$303,收支流水!$B$4:$B$303,"收入",收支流水!$C$4:$C$303,B$5,收支流水!$A$4:$A$303,"&gt;="&amp;$A13,收支流水!$A$4:$A$303,"&lt;"&amp;EDATE($A13,1))</f>
        <v/>
      </c>
      <c r="C13" s="123">
        <f>SUMIFS(收支流水!$E$4:$E$303,收支流水!$B$4:$B$303,"收入",收支流水!$C$4:$C$303,C$5,收支流水!$A$4:$A$303,"&gt;="&amp;$A13,收支流水!$A$4:$A$303,"&lt;"&amp;EDATE($A13,1))</f>
        <v/>
      </c>
      <c r="D13" s="123">
        <f>SUMIFS(收支流水!$E$4:$E$303,收支流水!$B$4:$B$303,"收入",收支流水!$C$4:$C$303,D$5,收支流水!$A$4:$A$303,"&gt;="&amp;$A13,收支流水!$A$4:$A$303,"&lt;"&amp;EDATE($A13,1))</f>
        <v/>
      </c>
      <c r="E13" s="103">
        <f>SUM(B13:D13)</f>
        <v/>
      </c>
      <c r="F13" s="123">
        <f>SUMIFS(收支流水!$E$4:$E$303,收支流水!$B$4:$B$303,"支出",收支流水!$C$4:$C$303,F$5,收支流水!$A$4:$A$303,"&gt;="&amp;$A13,收支流水!$A$4:$A$303,"&lt;"&amp;EDATE($A13,1))</f>
        <v/>
      </c>
      <c r="G13" s="123">
        <f>SUMIFS(收支流水!$E$4:$E$303,收支流水!$B$4:$B$303,"支出",收支流水!$C$4:$C$303,G$5,收支流水!$A$4:$A$303,"&gt;="&amp;$A13,收支流水!$A$4:$A$303,"&lt;"&amp;EDATE($A13,1))</f>
        <v/>
      </c>
      <c r="H13" s="123">
        <f>SUMIFS(收支流水!$E$4:$E$303,收支流水!$B$4:$B$303,"支出",收支流水!$C$4:$C$303,H$5,收支流水!$A$4:$A$303,"&gt;="&amp;$A13,收支流水!$A$4:$A$303,"&lt;"&amp;EDATE($A13,1))</f>
        <v/>
      </c>
      <c r="I13" s="123">
        <f>SUMIFS(收支流水!$E$4:$E$303,收支流水!$B$4:$B$303,"支出",收支流水!$C$4:$C$303,I$5,收支流水!$A$4:$A$303,"&gt;="&amp;$A13,收支流水!$A$4:$A$303,"&lt;"&amp;EDATE($A13,1))</f>
        <v/>
      </c>
      <c r="J13" s="123">
        <f>SUMIFS(收支流水!$E$4:$E$303,收支流水!$B$4:$B$303,"支出",收支流水!$C$4:$C$303,J$5,收支流水!$A$4:$A$303,"&gt;="&amp;$A13,收支流水!$A$4:$A$303,"&lt;"&amp;EDATE($A13,1))</f>
        <v/>
      </c>
      <c r="K13" s="103">
        <f>SUM(F13:J13)</f>
        <v/>
      </c>
      <c r="L13" s="103">
        <f>E13-K13</f>
        <v/>
      </c>
      <c r="M13" s="105">
        <f>IF(E13=0,"",L13/E13)</f>
        <v/>
      </c>
      <c r="N13" s="103">
        <f>N12+L13</f>
        <v/>
      </c>
    </row>
    <row r="14" ht="14.5" customHeight="1">
      <c r="A14" s="122" t="n">
        <v>46508</v>
      </c>
      <c r="B14" s="123">
        <f>SUMIFS(收支流水!$E$4:$E$303,收支流水!$B$4:$B$303,"收入",收支流水!$C$4:$C$303,B$5,收支流水!$A$4:$A$303,"&gt;="&amp;$A14,收支流水!$A$4:$A$303,"&lt;"&amp;EDATE($A14,1))</f>
        <v/>
      </c>
      <c r="C14" s="123">
        <f>SUMIFS(收支流水!$E$4:$E$303,收支流水!$B$4:$B$303,"收入",收支流水!$C$4:$C$303,C$5,收支流水!$A$4:$A$303,"&gt;="&amp;$A14,收支流水!$A$4:$A$303,"&lt;"&amp;EDATE($A14,1))</f>
        <v/>
      </c>
      <c r="D14" s="123">
        <f>SUMIFS(收支流水!$E$4:$E$303,收支流水!$B$4:$B$303,"收入",收支流水!$C$4:$C$303,D$5,收支流水!$A$4:$A$303,"&gt;="&amp;$A14,收支流水!$A$4:$A$303,"&lt;"&amp;EDATE($A14,1))</f>
        <v/>
      </c>
      <c r="E14" s="103">
        <f>SUM(B14:D14)</f>
        <v/>
      </c>
      <c r="F14" s="123">
        <f>SUMIFS(收支流水!$E$4:$E$303,收支流水!$B$4:$B$303,"支出",收支流水!$C$4:$C$303,F$5,收支流水!$A$4:$A$303,"&gt;="&amp;$A14,收支流水!$A$4:$A$303,"&lt;"&amp;EDATE($A14,1))</f>
        <v/>
      </c>
      <c r="G14" s="123">
        <f>SUMIFS(收支流水!$E$4:$E$303,收支流水!$B$4:$B$303,"支出",收支流水!$C$4:$C$303,G$5,收支流水!$A$4:$A$303,"&gt;="&amp;$A14,收支流水!$A$4:$A$303,"&lt;"&amp;EDATE($A14,1))</f>
        <v/>
      </c>
      <c r="H14" s="123">
        <f>SUMIFS(收支流水!$E$4:$E$303,收支流水!$B$4:$B$303,"支出",收支流水!$C$4:$C$303,H$5,收支流水!$A$4:$A$303,"&gt;="&amp;$A14,收支流水!$A$4:$A$303,"&lt;"&amp;EDATE($A14,1))</f>
        <v/>
      </c>
      <c r="I14" s="123">
        <f>SUMIFS(收支流水!$E$4:$E$303,收支流水!$B$4:$B$303,"支出",收支流水!$C$4:$C$303,I$5,收支流水!$A$4:$A$303,"&gt;="&amp;$A14,收支流水!$A$4:$A$303,"&lt;"&amp;EDATE($A14,1))</f>
        <v/>
      </c>
      <c r="J14" s="123">
        <f>SUMIFS(收支流水!$E$4:$E$303,收支流水!$B$4:$B$303,"支出",收支流水!$C$4:$C$303,J$5,收支流水!$A$4:$A$303,"&gt;="&amp;$A14,收支流水!$A$4:$A$303,"&lt;"&amp;EDATE($A14,1))</f>
        <v/>
      </c>
      <c r="K14" s="103">
        <f>SUM(F14:J14)</f>
        <v/>
      </c>
      <c r="L14" s="103">
        <f>E14-K14</f>
        <v/>
      </c>
      <c r="M14" s="105">
        <f>IF(E14=0,"",L14/E14)</f>
        <v/>
      </c>
      <c r="N14" s="103">
        <f>N13+L14</f>
        <v/>
      </c>
    </row>
    <row r="15" ht="14.5" customHeight="1">
      <c r="A15" s="122" t="n">
        <v>46539</v>
      </c>
      <c r="B15" s="123">
        <f>SUMIFS(收支流水!$E$4:$E$303,收支流水!$B$4:$B$303,"收入",收支流水!$C$4:$C$303,B$5,收支流水!$A$4:$A$303,"&gt;="&amp;$A15,收支流水!$A$4:$A$303,"&lt;"&amp;EDATE($A15,1))</f>
        <v/>
      </c>
      <c r="C15" s="123">
        <f>SUMIFS(收支流水!$E$4:$E$303,收支流水!$B$4:$B$303,"收入",收支流水!$C$4:$C$303,C$5,收支流水!$A$4:$A$303,"&gt;="&amp;$A15,收支流水!$A$4:$A$303,"&lt;"&amp;EDATE($A15,1))</f>
        <v/>
      </c>
      <c r="D15" s="123">
        <f>SUMIFS(收支流水!$E$4:$E$303,收支流水!$B$4:$B$303,"收入",收支流水!$C$4:$C$303,D$5,收支流水!$A$4:$A$303,"&gt;="&amp;$A15,收支流水!$A$4:$A$303,"&lt;"&amp;EDATE($A15,1))</f>
        <v/>
      </c>
      <c r="E15" s="103">
        <f>SUM(B15:D15)</f>
        <v/>
      </c>
      <c r="F15" s="123">
        <f>SUMIFS(收支流水!$E$4:$E$303,收支流水!$B$4:$B$303,"支出",收支流水!$C$4:$C$303,F$5,收支流水!$A$4:$A$303,"&gt;="&amp;$A15,收支流水!$A$4:$A$303,"&lt;"&amp;EDATE($A15,1))</f>
        <v/>
      </c>
      <c r="G15" s="123">
        <f>SUMIFS(收支流水!$E$4:$E$303,收支流水!$B$4:$B$303,"支出",收支流水!$C$4:$C$303,G$5,收支流水!$A$4:$A$303,"&gt;="&amp;$A15,收支流水!$A$4:$A$303,"&lt;"&amp;EDATE($A15,1))</f>
        <v/>
      </c>
      <c r="H15" s="123">
        <f>SUMIFS(收支流水!$E$4:$E$303,收支流水!$B$4:$B$303,"支出",收支流水!$C$4:$C$303,H$5,收支流水!$A$4:$A$303,"&gt;="&amp;$A15,收支流水!$A$4:$A$303,"&lt;"&amp;EDATE($A15,1))</f>
        <v/>
      </c>
      <c r="I15" s="123">
        <f>SUMIFS(收支流水!$E$4:$E$303,收支流水!$B$4:$B$303,"支出",收支流水!$C$4:$C$303,I$5,收支流水!$A$4:$A$303,"&gt;="&amp;$A15,收支流水!$A$4:$A$303,"&lt;"&amp;EDATE($A15,1))</f>
        <v/>
      </c>
      <c r="J15" s="123">
        <f>SUMIFS(收支流水!$E$4:$E$303,收支流水!$B$4:$B$303,"支出",收支流水!$C$4:$C$303,J$5,收支流水!$A$4:$A$303,"&gt;="&amp;$A15,收支流水!$A$4:$A$303,"&lt;"&amp;EDATE($A15,1))</f>
        <v/>
      </c>
      <c r="K15" s="103">
        <f>SUM(F15:J15)</f>
        <v/>
      </c>
      <c r="L15" s="103">
        <f>E15-K15</f>
        <v/>
      </c>
      <c r="M15" s="105">
        <f>IF(E15=0,"",L15/E15)</f>
        <v/>
      </c>
      <c r="N15" s="103">
        <f>N14+L15</f>
        <v/>
      </c>
    </row>
    <row r="16" ht="14.5" customHeight="1">
      <c r="A16" s="122" t="n">
        <v>46569</v>
      </c>
      <c r="B16" s="123">
        <f>SUMIFS(收支流水!$E$4:$E$303,收支流水!$B$4:$B$303,"收入",收支流水!$C$4:$C$303,B$5,收支流水!$A$4:$A$303,"&gt;="&amp;$A16,收支流水!$A$4:$A$303,"&lt;"&amp;EDATE($A16,1))</f>
        <v/>
      </c>
      <c r="C16" s="123">
        <f>SUMIFS(收支流水!$E$4:$E$303,收支流水!$B$4:$B$303,"收入",收支流水!$C$4:$C$303,C$5,收支流水!$A$4:$A$303,"&gt;="&amp;$A16,收支流水!$A$4:$A$303,"&lt;"&amp;EDATE($A16,1))</f>
        <v/>
      </c>
      <c r="D16" s="123">
        <f>SUMIFS(收支流水!$E$4:$E$303,收支流水!$B$4:$B$303,"收入",收支流水!$C$4:$C$303,D$5,收支流水!$A$4:$A$303,"&gt;="&amp;$A16,收支流水!$A$4:$A$303,"&lt;"&amp;EDATE($A16,1))</f>
        <v/>
      </c>
      <c r="E16" s="103">
        <f>SUM(B16:D16)</f>
        <v/>
      </c>
      <c r="F16" s="123">
        <f>SUMIFS(收支流水!$E$4:$E$303,收支流水!$B$4:$B$303,"支出",收支流水!$C$4:$C$303,F$5,收支流水!$A$4:$A$303,"&gt;="&amp;$A16,收支流水!$A$4:$A$303,"&lt;"&amp;EDATE($A16,1))</f>
        <v/>
      </c>
      <c r="G16" s="123">
        <f>SUMIFS(收支流水!$E$4:$E$303,收支流水!$B$4:$B$303,"支出",收支流水!$C$4:$C$303,G$5,收支流水!$A$4:$A$303,"&gt;="&amp;$A16,收支流水!$A$4:$A$303,"&lt;"&amp;EDATE($A16,1))</f>
        <v/>
      </c>
      <c r="H16" s="123">
        <f>SUMIFS(收支流水!$E$4:$E$303,收支流水!$B$4:$B$303,"支出",收支流水!$C$4:$C$303,H$5,收支流水!$A$4:$A$303,"&gt;="&amp;$A16,收支流水!$A$4:$A$303,"&lt;"&amp;EDATE($A16,1))</f>
        <v/>
      </c>
      <c r="I16" s="123">
        <f>SUMIFS(收支流水!$E$4:$E$303,收支流水!$B$4:$B$303,"支出",收支流水!$C$4:$C$303,I$5,收支流水!$A$4:$A$303,"&gt;="&amp;$A16,收支流水!$A$4:$A$303,"&lt;"&amp;EDATE($A16,1))</f>
        <v/>
      </c>
      <c r="J16" s="123">
        <f>SUMIFS(收支流水!$E$4:$E$303,收支流水!$B$4:$B$303,"支出",收支流水!$C$4:$C$303,J$5,收支流水!$A$4:$A$303,"&gt;="&amp;$A16,收支流水!$A$4:$A$303,"&lt;"&amp;EDATE($A16,1))</f>
        <v/>
      </c>
      <c r="K16" s="103">
        <f>SUM(F16:J16)</f>
        <v/>
      </c>
      <c r="L16" s="103">
        <f>E16-K16</f>
        <v/>
      </c>
      <c r="M16" s="105">
        <f>IF(E16=0,"",L16/E16)</f>
        <v/>
      </c>
      <c r="N16" s="103">
        <f>N15+L16</f>
        <v/>
      </c>
    </row>
    <row r="17" ht="14.5" customHeight="1">
      <c r="A17" s="122" t="n">
        <v>46600</v>
      </c>
      <c r="B17" s="123">
        <f>SUMIFS(收支流水!$E$4:$E$303,收支流水!$B$4:$B$303,"收入",收支流水!$C$4:$C$303,B$5,收支流水!$A$4:$A$303,"&gt;="&amp;$A17,收支流水!$A$4:$A$303,"&lt;"&amp;EDATE($A17,1))</f>
        <v/>
      </c>
      <c r="C17" s="123">
        <f>SUMIFS(收支流水!$E$4:$E$303,收支流水!$B$4:$B$303,"收入",收支流水!$C$4:$C$303,C$5,收支流水!$A$4:$A$303,"&gt;="&amp;$A17,收支流水!$A$4:$A$303,"&lt;"&amp;EDATE($A17,1))</f>
        <v/>
      </c>
      <c r="D17" s="123">
        <f>SUMIFS(收支流水!$E$4:$E$303,收支流水!$B$4:$B$303,"收入",收支流水!$C$4:$C$303,D$5,收支流水!$A$4:$A$303,"&gt;="&amp;$A17,收支流水!$A$4:$A$303,"&lt;"&amp;EDATE($A17,1))</f>
        <v/>
      </c>
      <c r="E17" s="103">
        <f>SUM(B17:D17)</f>
        <v/>
      </c>
      <c r="F17" s="123">
        <f>SUMIFS(收支流水!$E$4:$E$303,收支流水!$B$4:$B$303,"支出",收支流水!$C$4:$C$303,F$5,收支流水!$A$4:$A$303,"&gt;="&amp;$A17,收支流水!$A$4:$A$303,"&lt;"&amp;EDATE($A17,1))</f>
        <v/>
      </c>
      <c r="G17" s="123">
        <f>SUMIFS(收支流水!$E$4:$E$303,收支流水!$B$4:$B$303,"支出",收支流水!$C$4:$C$303,G$5,收支流水!$A$4:$A$303,"&gt;="&amp;$A17,收支流水!$A$4:$A$303,"&lt;"&amp;EDATE($A17,1))</f>
        <v/>
      </c>
      <c r="H17" s="123">
        <f>SUMIFS(收支流水!$E$4:$E$303,收支流水!$B$4:$B$303,"支出",收支流水!$C$4:$C$303,H$5,收支流水!$A$4:$A$303,"&gt;="&amp;$A17,收支流水!$A$4:$A$303,"&lt;"&amp;EDATE($A17,1))</f>
        <v/>
      </c>
      <c r="I17" s="123">
        <f>SUMIFS(收支流水!$E$4:$E$303,收支流水!$B$4:$B$303,"支出",收支流水!$C$4:$C$303,I$5,收支流水!$A$4:$A$303,"&gt;="&amp;$A17,收支流水!$A$4:$A$303,"&lt;"&amp;EDATE($A17,1))</f>
        <v/>
      </c>
      <c r="J17" s="123">
        <f>SUMIFS(收支流水!$E$4:$E$303,收支流水!$B$4:$B$303,"支出",收支流水!$C$4:$C$303,J$5,收支流水!$A$4:$A$303,"&gt;="&amp;$A17,收支流水!$A$4:$A$303,"&lt;"&amp;EDATE($A17,1))</f>
        <v/>
      </c>
      <c r="K17" s="103">
        <f>SUM(F17:J17)</f>
        <v/>
      </c>
      <c r="L17" s="103">
        <f>E17-K17</f>
        <v/>
      </c>
      <c r="M17" s="105">
        <f>IF(E17=0,"",L17/E17)</f>
        <v/>
      </c>
      <c r="N17" s="103">
        <f>N16+L17</f>
        <v/>
      </c>
    </row>
    <row r="18" ht="14.5" customHeight="1">
      <c r="A18" s="122" t="n">
        <v>46631</v>
      </c>
      <c r="B18" s="123">
        <f>SUMIFS(收支流水!$E$4:$E$303,收支流水!$B$4:$B$303,"收入",收支流水!$C$4:$C$303,B$5,收支流水!$A$4:$A$303,"&gt;="&amp;$A18,收支流水!$A$4:$A$303,"&lt;"&amp;EDATE($A18,1))</f>
        <v/>
      </c>
      <c r="C18" s="123">
        <f>SUMIFS(收支流水!$E$4:$E$303,收支流水!$B$4:$B$303,"收入",收支流水!$C$4:$C$303,C$5,收支流水!$A$4:$A$303,"&gt;="&amp;$A18,收支流水!$A$4:$A$303,"&lt;"&amp;EDATE($A18,1))</f>
        <v/>
      </c>
      <c r="D18" s="123">
        <f>SUMIFS(收支流水!$E$4:$E$303,收支流水!$B$4:$B$303,"收入",收支流水!$C$4:$C$303,D$5,收支流水!$A$4:$A$303,"&gt;="&amp;$A18,收支流水!$A$4:$A$303,"&lt;"&amp;EDATE($A18,1))</f>
        <v/>
      </c>
      <c r="E18" s="103">
        <f>SUM(B18:D18)</f>
        <v/>
      </c>
      <c r="F18" s="123">
        <f>SUMIFS(收支流水!$E$4:$E$303,收支流水!$B$4:$B$303,"支出",收支流水!$C$4:$C$303,F$5,收支流水!$A$4:$A$303,"&gt;="&amp;$A18,收支流水!$A$4:$A$303,"&lt;"&amp;EDATE($A18,1))</f>
        <v/>
      </c>
      <c r="G18" s="123">
        <f>SUMIFS(收支流水!$E$4:$E$303,收支流水!$B$4:$B$303,"支出",收支流水!$C$4:$C$303,G$5,收支流水!$A$4:$A$303,"&gt;="&amp;$A18,收支流水!$A$4:$A$303,"&lt;"&amp;EDATE($A18,1))</f>
        <v/>
      </c>
      <c r="H18" s="123">
        <f>SUMIFS(收支流水!$E$4:$E$303,收支流水!$B$4:$B$303,"支出",收支流水!$C$4:$C$303,H$5,收支流水!$A$4:$A$303,"&gt;="&amp;$A18,收支流水!$A$4:$A$303,"&lt;"&amp;EDATE($A18,1))</f>
        <v/>
      </c>
      <c r="I18" s="123">
        <f>SUMIFS(收支流水!$E$4:$E$303,收支流水!$B$4:$B$303,"支出",收支流水!$C$4:$C$303,I$5,收支流水!$A$4:$A$303,"&gt;="&amp;$A18,收支流水!$A$4:$A$303,"&lt;"&amp;EDATE($A18,1))</f>
        <v/>
      </c>
      <c r="J18" s="123">
        <f>SUMIFS(收支流水!$E$4:$E$303,收支流水!$B$4:$B$303,"支出",收支流水!$C$4:$C$303,J$5,收支流水!$A$4:$A$303,"&gt;="&amp;$A18,收支流水!$A$4:$A$303,"&lt;"&amp;EDATE($A18,1))</f>
        <v/>
      </c>
      <c r="K18" s="103">
        <f>SUM(F18:J18)</f>
        <v/>
      </c>
      <c r="L18" s="103">
        <f>E18-K18</f>
        <v/>
      </c>
      <c r="M18" s="105">
        <f>IF(E18=0,"",L18/E18)</f>
        <v/>
      </c>
      <c r="N18" s="103">
        <f>N17+L18</f>
        <v/>
      </c>
    </row>
    <row r="19" ht="14.5" customHeight="1">
      <c r="A19" s="122" t="n">
        <v>46661</v>
      </c>
      <c r="B19" s="123">
        <f>SUMIFS(收支流水!$E$4:$E$303,收支流水!$B$4:$B$303,"收入",收支流水!$C$4:$C$303,B$5,收支流水!$A$4:$A$303,"&gt;="&amp;$A19,收支流水!$A$4:$A$303,"&lt;"&amp;EDATE($A19,1))</f>
        <v/>
      </c>
      <c r="C19" s="123">
        <f>SUMIFS(收支流水!$E$4:$E$303,收支流水!$B$4:$B$303,"收入",收支流水!$C$4:$C$303,C$5,收支流水!$A$4:$A$303,"&gt;="&amp;$A19,收支流水!$A$4:$A$303,"&lt;"&amp;EDATE($A19,1))</f>
        <v/>
      </c>
      <c r="D19" s="123">
        <f>SUMIFS(收支流水!$E$4:$E$303,收支流水!$B$4:$B$303,"收入",收支流水!$C$4:$C$303,D$5,收支流水!$A$4:$A$303,"&gt;="&amp;$A19,收支流水!$A$4:$A$303,"&lt;"&amp;EDATE($A19,1))</f>
        <v/>
      </c>
      <c r="E19" s="103">
        <f>SUM(B19:D19)</f>
        <v/>
      </c>
      <c r="F19" s="123">
        <f>SUMIFS(收支流水!$E$4:$E$303,收支流水!$B$4:$B$303,"支出",收支流水!$C$4:$C$303,F$5,收支流水!$A$4:$A$303,"&gt;="&amp;$A19,收支流水!$A$4:$A$303,"&lt;"&amp;EDATE($A19,1))</f>
        <v/>
      </c>
      <c r="G19" s="123">
        <f>SUMIFS(收支流水!$E$4:$E$303,收支流水!$B$4:$B$303,"支出",收支流水!$C$4:$C$303,G$5,收支流水!$A$4:$A$303,"&gt;="&amp;$A19,收支流水!$A$4:$A$303,"&lt;"&amp;EDATE($A19,1))</f>
        <v/>
      </c>
      <c r="H19" s="123">
        <f>SUMIFS(收支流水!$E$4:$E$303,收支流水!$B$4:$B$303,"支出",收支流水!$C$4:$C$303,H$5,收支流水!$A$4:$A$303,"&gt;="&amp;$A19,收支流水!$A$4:$A$303,"&lt;"&amp;EDATE($A19,1))</f>
        <v/>
      </c>
      <c r="I19" s="123">
        <f>SUMIFS(收支流水!$E$4:$E$303,收支流水!$B$4:$B$303,"支出",收支流水!$C$4:$C$303,I$5,收支流水!$A$4:$A$303,"&gt;="&amp;$A19,收支流水!$A$4:$A$303,"&lt;"&amp;EDATE($A19,1))</f>
        <v/>
      </c>
      <c r="J19" s="123">
        <f>SUMIFS(收支流水!$E$4:$E$303,收支流水!$B$4:$B$303,"支出",收支流水!$C$4:$C$303,J$5,收支流水!$A$4:$A$303,"&gt;="&amp;$A19,收支流水!$A$4:$A$303,"&lt;"&amp;EDATE($A19,1))</f>
        <v/>
      </c>
      <c r="K19" s="103">
        <f>SUM(F19:J19)</f>
        <v/>
      </c>
      <c r="L19" s="103">
        <f>E19-K19</f>
        <v/>
      </c>
      <c r="M19" s="105">
        <f>IF(E19=0,"",L19/E19)</f>
        <v/>
      </c>
      <c r="N19" s="103">
        <f>N18+L19</f>
        <v/>
      </c>
    </row>
    <row r="20" ht="14.5" customHeight="1">
      <c r="A20" s="122" t="n">
        <v>46692</v>
      </c>
      <c r="B20" s="123">
        <f>SUMIFS(收支流水!$E$4:$E$303,收支流水!$B$4:$B$303,"收入",收支流水!$C$4:$C$303,B$5,收支流水!$A$4:$A$303,"&gt;="&amp;$A20,收支流水!$A$4:$A$303,"&lt;"&amp;EDATE($A20,1))</f>
        <v/>
      </c>
      <c r="C20" s="123">
        <f>SUMIFS(收支流水!$E$4:$E$303,收支流水!$B$4:$B$303,"收入",收支流水!$C$4:$C$303,C$5,收支流水!$A$4:$A$303,"&gt;="&amp;$A20,收支流水!$A$4:$A$303,"&lt;"&amp;EDATE($A20,1))</f>
        <v/>
      </c>
      <c r="D20" s="123">
        <f>SUMIFS(收支流水!$E$4:$E$303,收支流水!$B$4:$B$303,"收入",收支流水!$C$4:$C$303,D$5,收支流水!$A$4:$A$303,"&gt;="&amp;$A20,收支流水!$A$4:$A$303,"&lt;"&amp;EDATE($A20,1))</f>
        <v/>
      </c>
      <c r="E20" s="103">
        <f>SUM(B20:D20)</f>
        <v/>
      </c>
      <c r="F20" s="123">
        <f>SUMIFS(收支流水!$E$4:$E$303,收支流水!$B$4:$B$303,"支出",收支流水!$C$4:$C$303,F$5,收支流水!$A$4:$A$303,"&gt;="&amp;$A20,收支流水!$A$4:$A$303,"&lt;"&amp;EDATE($A20,1))</f>
        <v/>
      </c>
      <c r="G20" s="123">
        <f>SUMIFS(收支流水!$E$4:$E$303,收支流水!$B$4:$B$303,"支出",收支流水!$C$4:$C$303,G$5,收支流水!$A$4:$A$303,"&gt;="&amp;$A20,收支流水!$A$4:$A$303,"&lt;"&amp;EDATE($A20,1))</f>
        <v/>
      </c>
      <c r="H20" s="123">
        <f>SUMIFS(收支流水!$E$4:$E$303,收支流水!$B$4:$B$303,"支出",收支流水!$C$4:$C$303,H$5,收支流水!$A$4:$A$303,"&gt;="&amp;$A20,收支流水!$A$4:$A$303,"&lt;"&amp;EDATE($A20,1))</f>
        <v/>
      </c>
      <c r="I20" s="123">
        <f>SUMIFS(收支流水!$E$4:$E$303,收支流水!$B$4:$B$303,"支出",收支流水!$C$4:$C$303,I$5,收支流水!$A$4:$A$303,"&gt;="&amp;$A20,收支流水!$A$4:$A$303,"&lt;"&amp;EDATE($A20,1))</f>
        <v/>
      </c>
      <c r="J20" s="123">
        <f>SUMIFS(收支流水!$E$4:$E$303,收支流水!$B$4:$B$303,"支出",收支流水!$C$4:$C$303,J$5,收支流水!$A$4:$A$303,"&gt;="&amp;$A20,收支流水!$A$4:$A$303,"&lt;"&amp;EDATE($A20,1))</f>
        <v/>
      </c>
      <c r="K20" s="103">
        <f>SUM(F20:J20)</f>
        <v/>
      </c>
      <c r="L20" s="103">
        <f>E20-K20</f>
        <v/>
      </c>
      <c r="M20" s="105">
        <f>IF(E20=0,"",L20/E20)</f>
        <v/>
      </c>
      <c r="N20" s="103">
        <f>N19+L20</f>
        <v/>
      </c>
    </row>
    <row r="21" ht="14.5" customHeight="1">
      <c r="A21" s="122" t="n">
        <v>46722</v>
      </c>
      <c r="B21" s="123">
        <f>SUMIFS(收支流水!$E$4:$E$303,收支流水!$B$4:$B$303,"收入",收支流水!$C$4:$C$303,B$5,收支流水!$A$4:$A$303,"&gt;="&amp;$A21,收支流水!$A$4:$A$303,"&lt;"&amp;EDATE($A21,1))</f>
        <v/>
      </c>
      <c r="C21" s="123">
        <f>SUMIFS(收支流水!$E$4:$E$303,收支流水!$B$4:$B$303,"收入",收支流水!$C$4:$C$303,C$5,收支流水!$A$4:$A$303,"&gt;="&amp;$A21,收支流水!$A$4:$A$303,"&lt;"&amp;EDATE($A21,1))</f>
        <v/>
      </c>
      <c r="D21" s="123">
        <f>SUMIFS(收支流水!$E$4:$E$303,收支流水!$B$4:$B$303,"收入",收支流水!$C$4:$C$303,D$5,收支流水!$A$4:$A$303,"&gt;="&amp;$A21,收支流水!$A$4:$A$303,"&lt;"&amp;EDATE($A21,1))</f>
        <v/>
      </c>
      <c r="E21" s="103">
        <f>SUM(B21:D21)</f>
        <v/>
      </c>
      <c r="F21" s="123">
        <f>SUMIFS(收支流水!$E$4:$E$303,收支流水!$B$4:$B$303,"支出",收支流水!$C$4:$C$303,F$5,收支流水!$A$4:$A$303,"&gt;="&amp;$A21,收支流水!$A$4:$A$303,"&lt;"&amp;EDATE($A21,1))</f>
        <v/>
      </c>
      <c r="G21" s="123">
        <f>SUMIFS(收支流水!$E$4:$E$303,收支流水!$B$4:$B$303,"支出",收支流水!$C$4:$C$303,G$5,收支流水!$A$4:$A$303,"&gt;="&amp;$A21,收支流水!$A$4:$A$303,"&lt;"&amp;EDATE($A21,1))</f>
        <v/>
      </c>
      <c r="H21" s="123">
        <f>SUMIFS(收支流水!$E$4:$E$303,收支流水!$B$4:$B$303,"支出",收支流水!$C$4:$C$303,H$5,收支流水!$A$4:$A$303,"&gt;="&amp;$A21,收支流水!$A$4:$A$303,"&lt;"&amp;EDATE($A21,1))</f>
        <v/>
      </c>
      <c r="I21" s="123">
        <f>SUMIFS(收支流水!$E$4:$E$303,收支流水!$B$4:$B$303,"支出",收支流水!$C$4:$C$303,I$5,收支流水!$A$4:$A$303,"&gt;="&amp;$A21,收支流水!$A$4:$A$303,"&lt;"&amp;EDATE($A21,1))</f>
        <v/>
      </c>
      <c r="J21" s="123">
        <f>SUMIFS(收支流水!$E$4:$E$303,收支流水!$B$4:$B$303,"支出",收支流水!$C$4:$C$303,J$5,收支流水!$A$4:$A$303,"&gt;="&amp;$A21,收支流水!$A$4:$A$303,"&lt;"&amp;EDATE($A21,1))</f>
        <v/>
      </c>
      <c r="K21" s="103">
        <f>SUM(F21:J21)</f>
        <v/>
      </c>
      <c r="L21" s="103">
        <f>E21-K21</f>
        <v/>
      </c>
      <c r="M21" s="105">
        <f>IF(E21=0,"",L21/E21)</f>
        <v/>
      </c>
      <c r="N21" s="103">
        <f>N20+L21</f>
        <v/>
      </c>
    </row>
    <row r="22" ht="14.5" customHeight="1">
      <c r="A22" s="122" t="n">
        <v>46753</v>
      </c>
      <c r="B22" s="123">
        <f>SUMIFS(收支流水!$E$4:$E$303,收支流水!$B$4:$B$303,"收入",收支流水!$C$4:$C$303,B$5,收支流水!$A$4:$A$303,"&gt;="&amp;$A22,收支流水!$A$4:$A$303,"&lt;"&amp;EDATE($A22,1))</f>
        <v/>
      </c>
      <c r="C22" s="123">
        <f>SUMIFS(收支流水!$E$4:$E$303,收支流水!$B$4:$B$303,"收入",收支流水!$C$4:$C$303,C$5,收支流水!$A$4:$A$303,"&gt;="&amp;$A22,收支流水!$A$4:$A$303,"&lt;"&amp;EDATE($A22,1))</f>
        <v/>
      </c>
      <c r="D22" s="123">
        <f>SUMIFS(收支流水!$E$4:$E$303,收支流水!$B$4:$B$303,"收入",收支流水!$C$4:$C$303,D$5,收支流水!$A$4:$A$303,"&gt;="&amp;$A22,收支流水!$A$4:$A$303,"&lt;"&amp;EDATE($A22,1))</f>
        <v/>
      </c>
      <c r="E22" s="103">
        <f>SUM(B22:D22)</f>
        <v/>
      </c>
      <c r="F22" s="123">
        <f>SUMIFS(收支流水!$E$4:$E$303,收支流水!$B$4:$B$303,"支出",收支流水!$C$4:$C$303,F$5,收支流水!$A$4:$A$303,"&gt;="&amp;$A22,收支流水!$A$4:$A$303,"&lt;"&amp;EDATE($A22,1))</f>
        <v/>
      </c>
      <c r="G22" s="123">
        <f>SUMIFS(收支流水!$E$4:$E$303,收支流水!$B$4:$B$303,"支出",收支流水!$C$4:$C$303,G$5,收支流水!$A$4:$A$303,"&gt;="&amp;$A22,收支流水!$A$4:$A$303,"&lt;"&amp;EDATE($A22,1))</f>
        <v/>
      </c>
      <c r="H22" s="123">
        <f>SUMIFS(收支流水!$E$4:$E$303,收支流水!$B$4:$B$303,"支出",收支流水!$C$4:$C$303,H$5,收支流水!$A$4:$A$303,"&gt;="&amp;$A22,收支流水!$A$4:$A$303,"&lt;"&amp;EDATE($A22,1))</f>
        <v/>
      </c>
      <c r="I22" s="123">
        <f>SUMIFS(收支流水!$E$4:$E$303,收支流水!$B$4:$B$303,"支出",收支流水!$C$4:$C$303,I$5,收支流水!$A$4:$A$303,"&gt;="&amp;$A22,收支流水!$A$4:$A$303,"&lt;"&amp;EDATE($A22,1))</f>
        <v/>
      </c>
      <c r="J22" s="123">
        <f>SUMIFS(收支流水!$E$4:$E$303,收支流水!$B$4:$B$303,"支出",收支流水!$C$4:$C$303,J$5,收支流水!$A$4:$A$303,"&gt;="&amp;$A22,收支流水!$A$4:$A$303,"&lt;"&amp;EDATE($A22,1))</f>
        <v/>
      </c>
      <c r="K22" s="103">
        <f>SUM(F22:J22)</f>
        <v/>
      </c>
      <c r="L22" s="103">
        <f>E22-K22</f>
        <v/>
      </c>
      <c r="M22" s="105">
        <f>IF(E22=0,"",L22/E22)</f>
        <v/>
      </c>
      <c r="N22" s="103">
        <f>N21+L22</f>
        <v/>
      </c>
    </row>
    <row r="23" ht="14.5" customHeight="1">
      <c r="A23" s="122" t="n">
        <v>46784</v>
      </c>
      <c r="B23" s="123">
        <f>SUMIFS(收支流水!$E$4:$E$303,收支流水!$B$4:$B$303,"收入",收支流水!$C$4:$C$303,B$5,收支流水!$A$4:$A$303,"&gt;="&amp;$A23,收支流水!$A$4:$A$303,"&lt;"&amp;EDATE($A23,1))</f>
        <v/>
      </c>
      <c r="C23" s="123">
        <f>SUMIFS(收支流水!$E$4:$E$303,收支流水!$B$4:$B$303,"收入",收支流水!$C$4:$C$303,C$5,收支流水!$A$4:$A$303,"&gt;="&amp;$A23,收支流水!$A$4:$A$303,"&lt;"&amp;EDATE($A23,1))</f>
        <v/>
      </c>
      <c r="D23" s="123">
        <f>SUMIFS(收支流水!$E$4:$E$303,收支流水!$B$4:$B$303,"收入",收支流水!$C$4:$C$303,D$5,收支流水!$A$4:$A$303,"&gt;="&amp;$A23,收支流水!$A$4:$A$303,"&lt;"&amp;EDATE($A23,1))</f>
        <v/>
      </c>
      <c r="E23" s="103">
        <f>SUM(B23:D23)</f>
        <v/>
      </c>
      <c r="F23" s="123">
        <f>SUMIFS(收支流水!$E$4:$E$303,收支流水!$B$4:$B$303,"支出",收支流水!$C$4:$C$303,F$5,收支流水!$A$4:$A$303,"&gt;="&amp;$A23,收支流水!$A$4:$A$303,"&lt;"&amp;EDATE($A23,1))</f>
        <v/>
      </c>
      <c r="G23" s="123">
        <f>SUMIFS(收支流水!$E$4:$E$303,收支流水!$B$4:$B$303,"支出",收支流水!$C$4:$C$303,G$5,收支流水!$A$4:$A$303,"&gt;="&amp;$A23,收支流水!$A$4:$A$303,"&lt;"&amp;EDATE($A23,1))</f>
        <v/>
      </c>
      <c r="H23" s="123">
        <f>SUMIFS(收支流水!$E$4:$E$303,收支流水!$B$4:$B$303,"支出",收支流水!$C$4:$C$303,H$5,收支流水!$A$4:$A$303,"&gt;="&amp;$A23,收支流水!$A$4:$A$303,"&lt;"&amp;EDATE($A23,1))</f>
        <v/>
      </c>
      <c r="I23" s="123">
        <f>SUMIFS(收支流水!$E$4:$E$303,收支流水!$B$4:$B$303,"支出",收支流水!$C$4:$C$303,I$5,收支流水!$A$4:$A$303,"&gt;="&amp;$A23,收支流水!$A$4:$A$303,"&lt;"&amp;EDATE($A23,1))</f>
        <v/>
      </c>
      <c r="J23" s="123">
        <f>SUMIFS(收支流水!$E$4:$E$303,收支流水!$B$4:$B$303,"支出",收支流水!$C$4:$C$303,J$5,收支流水!$A$4:$A$303,"&gt;="&amp;$A23,收支流水!$A$4:$A$303,"&lt;"&amp;EDATE($A23,1))</f>
        <v/>
      </c>
      <c r="K23" s="103">
        <f>SUM(F23:J23)</f>
        <v/>
      </c>
      <c r="L23" s="103">
        <f>E23-K23</f>
        <v/>
      </c>
      <c r="M23" s="105">
        <f>IF(E23=0,"",L23/E23)</f>
        <v/>
      </c>
      <c r="N23" s="103">
        <f>N22+L23</f>
        <v/>
      </c>
    </row>
    <row r="24" ht="14.5" customHeight="1">
      <c r="A24" s="122" t="n">
        <v>46813</v>
      </c>
      <c r="B24" s="123">
        <f>SUMIFS(收支流水!$E$4:$E$303,收支流水!$B$4:$B$303,"收入",收支流水!$C$4:$C$303,B$5,收支流水!$A$4:$A$303,"&gt;="&amp;$A24,收支流水!$A$4:$A$303,"&lt;"&amp;EDATE($A24,1))</f>
        <v/>
      </c>
      <c r="C24" s="123">
        <f>SUMIFS(收支流水!$E$4:$E$303,收支流水!$B$4:$B$303,"收入",收支流水!$C$4:$C$303,C$5,收支流水!$A$4:$A$303,"&gt;="&amp;$A24,收支流水!$A$4:$A$303,"&lt;"&amp;EDATE($A24,1))</f>
        <v/>
      </c>
      <c r="D24" s="123">
        <f>SUMIFS(收支流水!$E$4:$E$303,收支流水!$B$4:$B$303,"收入",收支流水!$C$4:$C$303,D$5,收支流水!$A$4:$A$303,"&gt;="&amp;$A24,收支流水!$A$4:$A$303,"&lt;"&amp;EDATE($A24,1))</f>
        <v/>
      </c>
      <c r="E24" s="103">
        <f>SUM(B24:D24)</f>
        <v/>
      </c>
      <c r="F24" s="123">
        <f>SUMIFS(收支流水!$E$4:$E$303,收支流水!$B$4:$B$303,"支出",收支流水!$C$4:$C$303,F$5,收支流水!$A$4:$A$303,"&gt;="&amp;$A24,收支流水!$A$4:$A$303,"&lt;"&amp;EDATE($A24,1))</f>
        <v/>
      </c>
      <c r="G24" s="123">
        <f>SUMIFS(收支流水!$E$4:$E$303,收支流水!$B$4:$B$303,"支出",收支流水!$C$4:$C$303,G$5,收支流水!$A$4:$A$303,"&gt;="&amp;$A24,收支流水!$A$4:$A$303,"&lt;"&amp;EDATE($A24,1))</f>
        <v/>
      </c>
      <c r="H24" s="123">
        <f>SUMIFS(收支流水!$E$4:$E$303,收支流水!$B$4:$B$303,"支出",收支流水!$C$4:$C$303,H$5,收支流水!$A$4:$A$303,"&gt;="&amp;$A24,收支流水!$A$4:$A$303,"&lt;"&amp;EDATE($A24,1))</f>
        <v/>
      </c>
      <c r="I24" s="123">
        <f>SUMIFS(收支流水!$E$4:$E$303,收支流水!$B$4:$B$303,"支出",收支流水!$C$4:$C$303,I$5,收支流水!$A$4:$A$303,"&gt;="&amp;$A24,收支流水!$A$4:$A$303,"&lt;"&amp;EDATE($A24,1))</f>
        <v/>
      </c>
      <c r="J24" s="123">
        <f>SUMIFS(收支流水!$E$4:$E$303,收支流水!$B$4:$B$303,"支出",收支流水!$C$4:$C$303,J$5,收支流水!$A$4:$A$303,"&gt;="&amp;$A24,收支流水!$A$4:$A$303,"&lt;"&amp;EDATE($A24,1))</f>
        <v/>
      </c>
      <c r="K24" s="103">
        <f>SUM(F24:J24)</f>
        <v/>
      </c>
      <c r="L24" s="103">
        <f>E24-K24</f>
        <v/>
      </c>
      <c r="M24" s="105">
        <f>IF(E24=0,"",L24/E24)</f>
        <v/>
      </c>
      <c r="N24" s="103">
        <f>N23+L24</f>
        <v/>
      </c>
    </row>
    <row r="25" ht="14.5" customHeight="1">
      <c r="A25" s="122" t="n">
        <v>46844</v>
      </c>
      <c r="B25" s="123">
        <f>SUMIFS(收支流水!$E$4:$E$303,收支流水!$B$4:$B$303,"收入",收支流水!$C$4:$C$303,B$5,收支流水!$A$4:$A$303,"&gt;="&amp;$A25,收支流水!$A$4:$A$303,"&lt;"&amp;EDATE($A25,1))</f>
        <v/>
      </c>
      <c r="C25" s="123">
        <f>SUMIFS(收支流水!$E$4:$E$303,收支流水!$B$4:$B$303,"收入",收支流水!$C$4:$C$303,C$5,收支流水!$A$4:$A$303,"&gt;="&amp;$A25,收支流水!$A$4:$A$303,"&lt;"&amp;EDATE($A25,1))</f>
        <v/>
      </c>
      <c r="D25" s="123">
        <f>SUMIFS(收支流水!$E$4:$E$303,收支流水!$B$4:$B$303,"收入",收支流水!$C$4:$C$303,D$5,收支流水!$A$4:$A$303,"&gt;="&amp;$A25,收支流水!$A$4:$A$303,"&lt;"&amp;EDATE($A25,1))</f>
        <v/>
      </c>
      <c r="E25" s="103">
        <f>SUM(B25:D25)</f>
        <v/>
      </c>
      <c r="F25" s="123">
        <f>SUMIFS(收支流水!$E$4:$E$303,收支流水!$B$4:$B$303,"支出",收支流水!$C$4:$C$303,F$5,收支流水!$A$4:$A$303,"&gt;="&amp;$A25,收支流水!$A$4:$A$303,"&lt;"&amp;EDATE($A25,1))</f>
        <v/>
      </c>
      <c r="G25" s="123">
        <f>SUMIFS(收支流水!$E$4:$E$303,收支流水!$B$4:$B$303,"支出",收支流水!$C$4:$C$303,G$5,收支流水!$A$4:$A$303,"&gt;="&amp;$A25,收支流水!$A$4:$A$303,"&lt;"&amp;EDATE($A25,1))</f>
        <v/>
      </c>
      <c r="H25" s="123">
        <f>SUMIFS(收支流水!$E$4:$E$303,收支流水!$B$4:$B$303,"支出",收支流水!$C$4:$C$303,H$5,收支流水!$A$4:$A$303,"&gt;="&amp;$A25,收支流水!$A$4:$A$303,"&lt;"&amp;EDATE($A25,1))</f>
        <v/>
      </c>
      <c r="I25" s="123">
        <f>SUMIFS(收支流水!$E$4:$E$303,收支流水!$B$4:$B$303,"支出",收支流水!$C$4:$C$303,I$5,收支流水!$A$4:$A$303,"&gt;="&amp;$A25,收支流水!$A$4:$A$303,"&lt;"&amp;EDATE($A25,1))</f>
        <v/>
      </c>
      <c r="J25" s="123">
        <f>SUMIFS(收支流水!$E$4:$E$303,收支流水!$B$4:$B$303,"支出",收支流水!$C$4:$C$303,J$5,收支流水!$A$4:$A$303,"&gt;="&amp;$A25,收支流水!$A$4:$A$303,"&lt;"&amp;EDATE($A25,1))</f>
        <v/>
      </c>
      <c r="K25" s="103">
        <f>SUM(F25:J25)</f>
        <v/>
      </c>
      <c r="L25" s="103">
        <f>E25-K25</f>
        <v/>
      </c>
      <c r="M25" s="105">
        <f>IF(E25=0,"",L25/E25)</f>
        <v/>
      </c>
      <c r="N25" s="103">
        <f>N24+L25</f>
        <v/>
      </c>
    </row>
    <row r="26" ht="14.5" customHeight="1">
      <c r="A26" s="122" t="n">
        <v>46874</v>
      </c>
      <c r="B26" s="123">
        <f>SUMIFS(收支流水!$E$4:$E$303,收支流水!$B$4:$B$303,"收入",收支流水!$C$4:$C$303,B$5,收支流水!$A$4:$A$303,"&gt;="&amp;$A26,收支流水!$A$4:$A$303,"&lt;"&amp;EDATE($A26,1))</f>
        <v/>
      </c>
      <c r="C26" s="123">
        <f>SUMIFS(收支流水!$E$4:$E$303,收支流水!$B$4:$B$303,"收入",收支流水!$C$4:$C$303,C$5,收支流水!$A$4:$A$303,"&gt;="&amp;$A26,收支流水!$A$4:$A$303,"&lt;"&amp;EDATE($A26,1))</f>
        <v/>
      </c>
      <c r="D26" s="123">
        <f>SUMIFS(收支流水!$E$4:$E$303,收支流水!$B$4:$B$303,"收入",收支流水!$C$4:$C$303,D$5,收支流水!$A$4:$A$303,"&gt;="&amp;$A26,收支流水!$A$4:$A$303,"&lt;"&amp;EDATE($A26,1))</f>
        <v/>
      </c>
      <c r="E26" s="103">
        <f>SUM(B26:D26)</f>
        <v/>
      </c>
      <c r="F26" s="123">
        <f>SUMIFS(收支流水!$E$4:$E$303,收支流水!$B$4:$B$303,"支出",收支流水!$C$4:$C$303,F$5,收支流水!$A$4:$A$303,"&gt;="&amp;$A26,收支流水!$A$4:$A$303,"&lt;"&amp;EDATE($A26,1))</f>
        <v/>
      </c>
      <c r="G26" s="123">
        <f>SUMIFS(收支流水!$E$4:$E$303,收支流水!$B$4:$B$303,"支出",收支流水!$C$4:$C$303,G$5,收支流水!$A$4:$A$303,"&gt;="&amp;$A26,收支流水!$A$4:$A$303,"&lt;"&amp;EDATE($A26,1))</f>
        <v/>
      </c>
      <c r="H26" s="123">
        <f>SUMIFS(收支流水!$E$4:$E$303,收支流水!$B$4:$B$303,"支出",收支流水!$C$4:$C$303,H$5,收支流水!$A$4:$A$303,"&gt;="&amp;$A26,收支流水!$A$4:$A$303,"&lt;"&amp;EDATE($A26,1))</f>
        <v/>
      </c>
      <c r="I26" s="123">
        <f>SUMIFS(收支流水!$E$4:$E$303,收支流水!$B$4:$B$303,"支出",收支流水!$C$4:$C$303,I$5,收支流水!$A$4:$A$303,"&gt;="&amp;$A26,收支流水!$A$4:$A$303,"&lt;"&amp;EDATE($A26,1))</f>
        <v/>
      </c>
      <c r="J26" s="123">
        <f>SUMIFS(收支流水!$E$4:$E$303,收支流水!$B$4:$B$303,"支出",收支流水!$C$4:$C$303,J$5,收支流水!$A$4:$A$303,"&gt;="&amp;$A26,收支流水!$A$4:$A$303,"&lt;"&amp;EDATE($A26,1))</f>
        <v/>
      </c>
      <c r="K26" s="103">
        <f>SUM(F26:J26)</f>
        <v/>
      </c>
      <c r="L26" s="103">
        <f>E26-K26</f>
        <v/>
      </c>
      <c r="M26" s="105">
        <f>IF(E26=0,"",L26/E26)</f>
        <v/>
      </c>
      <c r="N26" s="103">
        <f>N25+L26</f>
        <v/>
      </c>
    </row>
    <row r="27" ht="14.5" customHeight="1">
      <c r="A27" s="122" t="n">
        <v>46905</v>
      </c>
      <c r="B27" s="123">
        <f>SUMIFS(收支流水!$E$4:$E$303,收支流水!$B$4:$B$303,"收入",收支流水!$C$4:$C$303,B$5,收支流水!$A$4:$A$303,"&gt;="&amp;$A27,收支流水!$A$4:$A$303,"&lt;"&amp;EDATE($A27,1))</f>
        <v/>
      </c>
      <c r="C27" s="123">
        <f>SUMIFS(收支流水!$E$4:$E$303,收支流水!$B$4:$B$303,"收入",收支流水!$C$4:$C$303,C$5,收支流水!$A$4:$A$303,"&gt;="&amp;$A27,收支流水!$A$4:$A$303,"&lt;"&amp;EDATE($A27,1))</f>
        <v/>
      </c>
      <c r="D27" s="123">
        <f>SUMIFS(收支流水!$E$4:$E$303,收支流水!$B$4:$B$303,"收入",收支流水!$C$4:$C$303,D$5,收支流水!$A$4:$A$303,"&gt;="&amp;$A27,收支流水!$A$4:$A$303,"&lt;"&amp;EDATE($A27,1))</f>
        <v/>
      </c>
      <c r="E27" s="103">
        <f>SUM(B27:D27)</f>
        <v/>
      </c>
      <c r="F27" s="123">
        <f>SUMIFS(收支流水!$E$4:$E$303,收支流水!$B$4:$B$303,"支出",收支流水!$C$4:$C$303,F$5,收支流水!$A$4:$A$303,"&gt;="&amp;$A27,收支流水!$A$4:$A$303,"&lt;"&amp;EDATE($A27,1))</f>
        <v/>
      </c>
      <c r="G27" s="123">
        <f>SUMIFS(收支流水!$E$4:$E$303,收支流水!$B$4:$B$303,"支出",收支流水!$C$4:$C$303,G$5,收支流水!$A$4:$A$303,"&gt;="&amp;$A27,收支流水!$A$4:$A$303,"&lt;"&amp;EDATE($A27,1))</f>
        <v/>
      </c>
      <c r="H27" s="123">
        <f>SUMIFS(收支流水!$E$4:$E$303,收支流水!$B$4:$B$303,"支出",收支流水!$C$4:$C$303,H$5,收支流水!$A$4:$A$303,"&gt;="&amp;$A27,收支流水!$A$4:$A$303,"&lt;"&amp;EDATE($A27,1))</f>
        <v/>
      </c>
      <c r="I27" s="123">
        <f>SUMIFS(收支流水!$E$4:$E$303,收支流水!$B$4:$B$303,"支出",收支流水!$C$4:$C$303,I$5,收支流水!$A$4:$A$303,"&gt;="&amp;$A27,收支流水!$A$4:$A$303,"&lt;"&amp;EDATE($A27,1))</f>
        <v/>
      </c>
      <c r="J27" s="123">
        <f>SUMIFS(收支流水!$E$4:$E$303,收支流水!$B$4:$B$303,"支出",收支流水!$C$4:$C$303,J$5,收支流水!$A$4:$A$303,"&gt;="&amp;$A27,收支流水!$A$4:$A$303,"&lt;"&amp;EDATE($A27,1))</f>
        <v/>
      </c>
      <c r="K27" s="103">
        <f>SUM(F27:J27)</f>
        <v/>
      </c>
      <c r="L27" s="103">
        <f>E27-K27</f>
        <v/>
      </c>
      <c r="M27" s="105">
        <f>IF(E27=0,"",L27/E27)</f>
        <v/>
      </c>
      <c r="N27" s="103">
        <f>N26+L27</f>
        <v/>
      </c>
    </row>
    <row r="28" ht="14.5" customHeight="1">
      <c r="A28" s="122" t="n">
        <v>46935</v>
      </c>
      <c r="B28" s="123">
        <f>SUMIFS(收支流水!$E$4:$E$303,收支流水!$B$4:$B$303,"收入",收支流水!$C$4:$C$303,B$5,收支流水!$A$4:$A$303,"&gt;="&amp;$A28,收支流水!$A$4:$A$303,"&lt;"&amp;EDATE($A28,1))</f>
        <v/>
      </c>
      <c r="C28" s="123">
        <f>SUMIFS(收支流水!$E$4:$E$303,收支流水!$B$4:$B$303,"收入",收支流水!$C$4:$C$303,C$5,收支流水!$A$4:$A$303,"&gt;="&amp;$A28,收支流水!$A$4:$A$303,"&lt;"&amp;EDATE($A28,1))</f>
        <v/>
      </c>
      <c r="D28" s="123">
        <f>SUMIFS(收支流水!$E$4:$E$303,收支流水!$B$4:$B$303,"收入",收支流水!$C$4:$C$303,D$5,收支流水!$A$4:$A$303,"&gt;="&amp;$A28,收支流水!$A$4:$A$303,"&lt;"&amp;EDATE($A28,1))</f>
        <v/>
      </c>
      <c r="E28" s="103">
        <f>SUM(B28:D28)</f>
        <v/>
      </c>
      <c r="F28" s="123">
        <f>SUMIFS(收支流水!$E$4:$E$303,收支流水!$B$4:$B$303,"支出",收支流水!$C$4:$C$303,F$5,收支流水!$A$4:$A$303,"&gt;="&amp;$A28,收支流水!$A$4:$A$303,"&lt;"&amp;EDATE($A28,1))</f>
        <v/>
      </c>
      <c r="G28" s="123">
        <f>SUMIFS(收支流水!$E$4:$E$303,收支流水!$B$4:$B$303,"支出",收支流水!$C$4:$C$303,G$5,收支流水!$A$4:$A$303,"&gt;="&amp;$A28,收支流水!$A$4:$A$303,"&lt;"&amp;EDATE($A28,1))</f>
        <v/>
      </c>
      <c r="H28" s="123">
        <f>SUMIFS(收支流水!$E$4:$E$303,收支流水!$B$4:$B$303,"支出",收支流水!$C$4:$C$303,H$5,收支流水!$A$4:$A$303,"&gt;="&amp;$A28,收支流水!$A$4:$A$303,"&lt;"&amp;EDATE($A28,1))</f>
        <v/>
      </c>
      <c r="I28" s="123">
        <f>SUMIFS(收支流水!$E$4:$E$303,收支流水!$B$4:$B$303,"支出",收支流水!$C$4:$C$303,I$5,收支流水!$A$4:$A$303,"&gt;="&amp;$A28,收支流水!$A$4:$A$303,"&lt;"&amp;EDATE($A28,1))</f>
        <v/>
      </c>
      <c r="J28" s="123">
        <f>SUMIFS(收支流水!$E$4:$E$303,收支流水!$B$4:$B$303,"支出",收支流水!$C$4:$C$303,J$5,收支流水!$A$4:$A$303,"&gt;="&amp;$A28,收支流水!$A$4:$A$303,"&lt;"&amp;EDATE($A28,1))</f>
        <v/>
      </c>
      <c r="K28" s="103">
        <f>SUM(F28:J28)</f>
        <v/>
      </c>
      <c r="L28" s="103">
        <f>E28-K28</f>
        <v/>
      </c>
      <c r="M28" s="105">
        <f>IF(E28=0,"",L28/E28)</f>
        <v/>
      </c>
      <c r="N28" s="103">
        <f>N27+L28</f>
        <v/>
      </c>
    </row>
    <row r="29" ht="14.5" customHeight="1">
      <c r="A29" s="122" t="n">
        <v>46966</v>
      </c>
      <c r="B29" s="123">
        <f>SUMIFS(收支流水!$E$4:$E$303,收支流水!$B$4:$B$303,"收入",收支流水!$C$4:$C$303,B$5,收支流水!$A$4:$A$303,"&gt;="&amp;$A29,收支流水!$A$4:$A$303,"&lt;"&amp;EDATE($A29,1))</f>
        <v/>
      </c>
      <c r="C29" s="123">
        <f>SUMIFS(收支流水!$E$4:$E$303,收支流水!$B$4:$B$303,"收入",收支流水!$C$4:$C$303,C$5,收支流水!$A$4:$A$303,"&gt;="&amp;$A29,收支流水!$A$4:$A$303,"&lt;"&amp;EDATE($A29,1))</f>
        <v/>
      </c>
      <c r="D29" s="123">
        <f>SUMIFS(收支流水!$E$4:$E$303,收支流水!$B$4:$B$303,"收入",收支流水!$C$4:$C$303,D$5,收支流水!$A$4:$A$303,"&gt;="&amp;$A29,收支流水!$A$4:$A$303,"&lt;"&amp;EDATE($A29,1))</f>
        <v/>
      </c>
      <c r="E29" s="103">
        <f>SUM(B29:D29)</f>
        <v/>
      </c>
      <c r="F29" s="123">
        <f>SUMIFS(收支流水!$E$4:$E$303,收支流水!$B$4:$B$303,"支出",收支流水!$C$4:$C$303,F$5,收支流水!$A$4:$A$303,"&gt;="&amp;$A29,收支流水!$A$4:$A$303,"&lt;"&amp;EDATE($A29,1))</f>
        <v/>
      </c>
      <c r="G29" s="123">
        <f>SUMIFS(收支流水!$E$4:$E$303,收支流水!$B$4:$B$303,"支出",收支流水!$C$4:$C$303,G$5,收支流水!$A$4:$A$303,"&gt;="&amp;$A29,收支流水!$A$4:$A$303,"&lt;"&amp;EDATE($A29,1))</f>
        <v/>
      </c>
      <c r="H29" s="123">
        <f>SUMIFS(收支流水!$E$4:$E$303,收支流水!$B$4:$B$303,"支出",收支流水!$C$4:$C$303,H$5,收支流水!$A$4:$A$303,"&gt;="&amp;$A29,收支流水!$A$4:$A$303,"&lt;"&amp;EDATE($A29,1))</f>
        <v/>
      </c>
      <c r="I29" s="123">
        <f>SUMIFS(收支流水!$E$4:$E$303,收支流水!$B$4:$B$303,"支出",收支流水!$C$4:$C$303,I$5,收支流水!$A$4:$A$303,"&gt;="&amp;$A29,收支流水!$A$4:$A$303,"&lt;"&amp;EDATE($A29,1))</f>
        <v/>
      </c>
      <c r="J29" s="123">
        <f>SUMIFS(收支流水!$E$4:$E$303,收支流水!$B$4:$B$303,"支出",收支流水!$C$4:$C$303,J$5,收支流水!$A$4:$A$303,"&gt;="&amp;$A29,收支流水!$A$4:$A$303,"&lt;"&amp;EDATE($A29,1))</f>
        <v/>
      </c>
      <c r="K29" s="103">
        <f>SUM(F29:J29)</f>
        <v/>
      </c>
      <c r="L29" s="103">
        <f>E29-K29</f>
        <v/>
      </c>
      <c r="M29" s="105">
        <f>IF(E29=0,"",L29/E29)</f>
        <v/>
      </c>
      <c r="N29" s="103">
        <f>N28+L29</f>
        <v/>
      </c>
    </row>
    <row r="31" ht="20" customHeight="1">
      <c r="A31" s="3" t="inlineStr">
        <is>
          <t>二、年度汇总</t>
        </is>
      </c>
    </row>
    <row r="32" ht="30" customHeight="1">
      <c r="A32" s="7" t="inlineStr">
        <is>
          <t>年度</t>
        </is>
      </c>
      <c r="B32" s="7" t="inlineStr">
        <is>
          <t>收入合计</t>
        </is>
      </c>
      <c r="C32" s="7" t="inlineStr">
        <is>
          <t>支出合计</t>
        </is>
      </c>
      <c r="D32" s="7" t="inlineStr">
        <is>
          <t>年结余</t>
        </is>
      </c>
      <c r="E32" s="7" t="inlineStr">
        <is>
          <t>储蓄率</t>
        </is>
      </c>
    </row>
    <row r="33" ht="14.5" customHeight="1">
      <c r="A33" s="33" t="inlineStr">
        <is>
          <t>2026</t>
        </is>
      </c>
      <c r="B33" s="103">
        <f>SUM(E6:E9)</f>
        <v/>
      </c>
      <c r="C33" s="103">
        <f>SUM(K6:K9)</f>
        <v/>
      </c>
      <c r="D33" s="103">
        <f>B33-C33</f>
        <v/>
      </c>
      <c r="E33" s="105">
        <f>IF(B33=0,"",D33/B33)</f>
        <v/>
      </c>
    </row>
    <row r="34" ht="14.5" customHeight="1">
      <c r="A34" s="33" t="inlineStr">
        <is>
          <t>2027</t>
        </is>
      </c>
      <c r="B34" s="103">
        <f>SUM(E10:E21)</f>
        <v/>
      </c>
      <c r="C34" s="103">
        <f>SUM(K10:K21)</f>
        <v/>
      </c>
      <c r="D34" s="103">
        <f>B34-C34</f>
        <v/>
      </c>
      <c r="E34" s="105">
        <f>IF(B34=0,"",D34/B34)</f>
        <v/>
      </c>
    </row>
    <row r="35" ht="14.5" customHeight="1">
      <c r="A35" s="33" t="inlineStr">
        <is>
          <t>2028</t>
        </is>
      </c>
      <c r="B35" s="103">
        <f>SUM(E22:E29)</f>
        <v/>
      </c>
      <c r="C35" s="103">
        <f>SUM(K22:K29)</f>
        <v/>
      </c>
      <c r="D35" s="103">
        <f>B35-C35</f>
        <v/>
      </c>
      <c r="E35" s="105">
        <f>IF(B35=0,"",D35/B35)</f>
        <v/>
      </c>
    </row>
    <row r="37" ht="20" customHeight="1">
      <c r="A37" s="3" t="inlineStr">
        <is>
          <t>三、滚动统计（供 FIRE 测算自动取值）</t>
        </is>
      </c>
    </row>
    <row r="38" ht="14.5" customHeight="1">
      <c r="A38" s="8" t="inlineStr">
        <is>
          <t>有记录月份数(月)</t>
        </is>
      </c>
      <c r="B38" s="24">
        <f>COUNTIF(K6:K29,"&gt;0")</f>
        <v/>
      </c>
    </row>
    <row r="39" ht="14.5" customHeight="1">
      <c r="A39" s="8" t="inlineStr">
        <is>
          <t>月均支出(元)</t>
        </is>
      </c>
      <c r="B39" s="112">
        <f>IF(B38=0,0,SUM(K6:K29)/B38)</f>
        <v/>
      </c>
    </row>
    <row r="40" ht="14.5" customHeight="1">
      <c r="A40" s="8" t="inlineStr">
        <is>
          <t>年化支出(元)</t>
        </is>
      </c>
      <c r="B40" s="112">
        <f>B39*12</f>
        <v/>
      </c>
    </row>
    <row r="41" ht="14.5" customHeight="1">
      <c r="A41" s="8" t="inlineStr">
        <is>
          <t>月均收入(元)</t>
        </is>
      </c>
      <c r="B41" s="112">
        <f>IF(B38=0,0,SUM(E6:E29)/B38)</f>
        <v/>
      </c>
    </row>
    <row r="42" ht="14.5" customHeight="1">
      <c r="A42" s="8" t="inlineStr">
        <is>
          <t>年化收入(元)</t>
        </is>
      </c>
      <c r="B42" s="112">
        <f>B41*12</f>
        <v/>
      </c>
    </row>
    <row r="43" ht="14.5" customHeight="1">
      <c r="A43" s="8" t="inlineStr">
        <is>
          <t>年化储蓄(元)</t>
        </is>
      </c>
      <c r="B43" s="112">
        <f>B42-B40</f>
        <v/>
      </c>
    </row>
    <row r="44" ht="14.5" customHeight="1">
      <c r="A44" s="8" t="inlineStr">
        <is>
          <t>储蓄率</t>
        </is>
      </c>
      <c r="B44" s="91">
        <f>IF(B42=0,"",B43/B42)</f>
        <v/>
      </c>
    </row>
  </sheetData>
  <mergeCells count="5">
    <mergeCell ref="A31:N31"/>
    <mergeCell ref="A4:N4"/>
    <mergeCell ref="A2:N2"/>
    <mergeCell ref="A37:N37"/>
    <mergeCell ref="A1:N1"/>
  </mergeCells>
  <pageMargins left="0.75" right="0.75" top="1" bottom="1" header="0.5" footer="0.5"/>
</worksheet>
</file>

<file path=xl/worksheets/sheet6.xml><?xml version="1.0" encoding="utf-8"?>
<worksheet xmlns="http://schemas.openxmlformats.org/spreadsheetml/2006/main">
  <sheetPr>
    <tabColor rgb="FFA9D08E"/>
    <outlinePr summaryBelow="1" summaryRight="1"/>
    <pageSetUpPr/>
  </sheetPr>
  <dimension ref="A1:F303"/>
  <sheetViews>
    <sheetView workbookViewId="0">
      <pane ySplit="3" topLeftCell="A4" activePane="bottomLeft" state="frozen"/>
      <selection activeCell="A1" sqref="A1"/>
      <selection pane="bottomLeft" activeCell="A1" sqref="A1:F1"/>
    </sheetView>
  </sheetViews>
  <sheetFormatPr baseColWidth="8" defaultColWidth="9" defaultRowHeight="14"/>
  <cols>
    <col width="14" customWidth="1" min="1" max="1"/>
    <col width="10" customWidth="1" min="2" max="2"/>
    <col width="14" customWidth="1" min="3" max="3"/>
    <col width="34" customWidth="1" min="4" max="4"/>
    <col width="16" customWidth="1" min="5" max="5"/>
    <col width="30" customWidth="1" min="6" max="6"/>
  </cols>
  <sheetData>
    <row r="1" ht="26" customHeight="1">
      <c r="A1" s="1" t="inlineStr">
        <is>
          <t>收支流水登记表</t>
        </is>
      </c>
    </row>
    <row r="2" ht="16" customHeight="1">
      <c r="A2" s="2" t="inlineStr">
        <is>
          <t>在下方逐笔登记；「类型」「类别」请使用下拉选择，填好后上方「收支记账」会自动汇总</t>
        </is>
      </c>
    </row>
    <row r="3" ht="30" customHeight="1">
      <c r="A3" s="7" t="inlineStr">
        <is>
          <t>日期</t>
        </is>
      </c>
      <c r="B3" s="7" t="inlineStr">
        <is>
          <t>类型</t>
        </is>
      </c>
      <c r="C3" s="7" t="inlineStr">
        <is>
          <t>类别</t>
        </is>
      </c>
      <c r="D3" s="7" t="inlineStr">
        <is>
          <t>项目说明</t>
        </is>
      </c>
      <c r="E3" s="7" t="inlineStr">
        <is>
          <t>金额(元)</t>
        </is>
      </c>
      <c r="F3" s="7" t="inlineStr">
        <is>
          <t>备注</t>
        </is>
      </c>
    </row>
    <row r="4" ht="14.5" customHeight="1">
      <c r="A4" s="124" t="n"/>
      <c r="B4" s="44" t="n"/>
      <c r="C4" s="44" t="n"/>
      <c r="D4" s="45" t="n"/>
      <c r="E4" s="110" t="n"/>
      <c r="F4" s="45" t="n"/>
    </row>
    <row r="5" ht="14.5" customHeight="1">
      <c r="A5" s="124" t="n"/>
      <c r="B5" s="44" t="n"/>
      <c r="C5" s="44" t="n"/>
      <c r="D5" s="45" t="n"/>
      <c r="E5" s="110" t="n"/>
      <c r="F5" s="45" t="n"/>
    </row>
    <row r="6" ht="14.5" customHeight="1">
      <c r="A6" s="124" t="n"/>
      <c r="B6" s="44" t="n"/>
      <c r="C6" s="44" t="n"/>
      <c r="D6" s="45" t="n"/>
      <c r="E6" s="110" t="n"/>
      <c r="F6" s="45" t="n"/>
    </row>
    <row r="7" ht="14.5" customHeight="1">
      <c r="A7" s="124" t="n"/>
      <c r="B7" s="44" t="n"/>
      <c r="C7" s="44" t="n"/>
      <c r="D7" s="45" t="n"/>
      <c r="E7" s="110" t="n"/>
      <c r="F7" s="45" t="n"/>
    </row>
    <row r="8" ht="14.5" customHeight="1">
      <c r="A8" s="124" t="n"/>
      <c r="B8" s="44" t="n"/>
      <c r="C8" s="44" t="n"/>
      <c r="D8" s="45" t="n"/>
      <c r="E8" s="110" t="n"/>
      <c r="F8" s="45" t="n"/>
    </row>
    <row r="9" ht="14.5" customHeight="1">
      <c r="A9" s="124" t="n"/>
      <c r="B9" s="44" t="n"/>
      <c r="C9" s="44" t="n"/>
      <c r="D9" s="45" t="n"/>
      <c r="E9" s="110" t="n"/>
      <c r="F9" s="45" t="n"/>
    </row>
    <row r="10" ht="14.5" customHeight="1">
      <c r="A10" s="124" t="n"/>
      <c r="B10" s="44" t="n"/>
      <c r="C10" s="44" t="n"/>
      <c r="D10" s="45" t="n"/>
      <c r="E10" s="110" t="n"/>
      <c r="F10" s="45" t="n"/>
    </row>
    <row r="11" ht="14.5" customHeight="1">
      <c r="A11" s="124" t="n"/>
      <c r="B11" s="44" t="n"/>
      <c r="C11" s="44" t="n"/>
      <c r="D11" s="45" t="n"/>
      <c r="E11" s="110" t="n"/>
      <c r="F11" s="45" t="n"/>
    </row>
    <row r="12" ht="14.5" customHeight="1">
      <c r="A12" s="124" t="n"/>
      <c r="B12" s="44" t="n"/>
      <c r="C12" s="44" t="n"/>
      <c r="D12" s="45" t="n"/>
      <c r="E12" s="110" t="n"/>
      <c r="F12" s="45" t="n"/>
    </row>
    <row r="13" ht="14.5" customHeight="1">
      <c r="A13" s="124" t="n"/>
      <c r="B13" s="44" t="n"/>
      <c r="C13" s="44" t="n"/>
      <c r="D13" s="45" t="n"/>
      <c r="E13" s="110" t="n"/>
      <c r="F13" s="45" t="n"/>
    </row>
    <row r="14" ht="14.5" customHeight="1">
      <c r="A14" s="124" t="n"/>
      <c r="B14" s="44" t="n"/>
      <c r="C14" s="44" t="n"/>
      <c r="D14" s="45" t="n"/>
      <c r="E14" s="110" t="n"/>
      <c r="F14" s="45" t="n"/>
    </row>
    <row r="15" ht="14.5" customHeight="1">
      <c r="A15" s="124" t="n"/>
      <c r="B15" s="44" t="n"/>
      <c r="C15" s="44" t="n"/>
      <c r="D15" s="45" t="n"/>
      <c r="E15" s="110" t="n"/>
      <c r="F15" s="45" t="n"/>
    </row>
    <row r="16" ht="14.5" customHeight="1">
      <c r="A16" s="124" t="n"/>
      <c r="B16" s="44" t="n"/>
      <c r="C16" s="44" t="n"/>
      <c r="D16" s="45" t="n"/>
      <c r="E16" s="110" t="n"/>
      <c r="F16" s="45" t="n"/>
    </row>
    <row r="17" ht="14.5" customHeight="1">
      <c r="A17" s="124" t="n"/>
      <c r="B17" s="44" t="n"/>
      <c r="C17" s="44" t="n"/>
      <c r="D17" s="45" t="n"/>
      <c r="E17" s="110" t="n"/>
      <c r="F17" s="45" t="n"/>
    </row>
    <row r="18" ht="14.5" customHeight="1">
      <c r="A18" s="124" t="n"/>
      <c r="B18" s="44" t="n"/>
      <c r="C18" s="44" t="n"/>
      <c r="D18" s="45" t="n"/>
      <c r="E18" s="110" t="n"/>
      <c r="F18" s="45" t="n"/>
    </row>
    <row r="19" ht="14.5" customHeight="1">
      <c r="A19" s="124" t="n"/>
      <c r="B19" s="44" t="n"/>
      <c r="C19" s="44" t="n"/>
      <c r="D19" s="45" t="n"/>
      <c r="E19" s="110" t="n"/>
      <c r="F19" s="45" t="n"/>
    </row>
    <row r="20" ht="14.5" customHeight="1">
      <c r="A20" s="124" t="n"/>
      <c r="B20" s="44" t="n"/>
      <c r="C20" s="44" t="n"/>
      <c r="D20" s="45" t="n"/>
      <c r="E20" s="110" t="n"/>
      <c r="F20" s="45" t="n"/>
    </row>
    <row r="21" ht="14.5" customHeight="1">
      <c r="A21" s="124" t="n"/>
      <c r="B21" s="44" t="n"/>
      <c r="C21" s="44" t="n"/>
      <c r="D21" s="45" t="n"/>
      <c r="E21" s="110" t="n"/>
      <c r="F21" s="45" t="n"/>
    </row>
    <row r="22" ht="14.5" customHeight="1">
      <c r="A22" s="124" t="n"/>
      <c r="B22" s="44" t="n"/>
      <c r="C22" s="44" t="n"/>
      <c r="D22" s="45" t="n"/>
      <c r="E22" s="110" t="n"/>
      <c r="F22" s="45" t="n"/>
    </row>
    <row r="23" ht="14.5" customHeight="1">
      <c r="A23" s="124" t="n"/>
      <c r="B23" s="44" t="n"/>
      <c r="C23" s="44" t="n"/>
      <c r="D23" s="45" t="n"/>
      <c r="E23" s="110" t="n"/>
      <c r="F23" s="45" t="n"/>
    </row>
    <row r="24" ht="14.5" customHeight="1">
      <c r="A24" s="124" t="n"/>
      <c r="B24" s="44" t="n"/>
      <c r="C24" s="44" t="n"/>
      <c r="D24" s="45" t="n"/>
      <c r="E24" s="110" t="n"/>
      <c r="F24" s="45" t="n"/>
    </row>
    <row r="25" ht="14.5" customHeight="1">
      <c r="A25" s="124" t="n"/>
      <c r="B25" s="44" t="n"/>
      <c r="C25" s="44" t="n"/>
      <c r="D25" s="45" t="n"/>
      <c r="E25" s="110" t="n"/>
      <c r="F25" s="45" t="n"/>
    </row>
    <row r="26" ht="14.5" customHeight="1">
      <c r="A26" s="124" t="n"/>
      <c r="B26" s="44" t="n"/>
      <c r="C26" s="44" t="n"/>
      <c r="D26" s="45" t="n"/>
      <c r="E26" s="110" t="n"/>
      <c r="F26" s="45" t="n"/>
    </row>
    <row r="27" ht="14.5" customHeight="1">
      <c r="A27" s="124" t="n"/>
      <c r="B27" s="44" t="n"/>
      <c r="C27" s="44" t="n"/>
      <c r="D27" s="45" t="n"/>
      <c r="E27" s="110" t="n"/>
      <c r="F27" s="45" t="n"/>
    </row>
    <row r="28" ht="14.5" customHeight="1">
      <c r="A28" s="124" t="n"/>
      <c r="B28" s="44" t="n"/>
      <c r="C28" s="44" t="n"/>
      <c r="D28" s="45" t="n"/>
      <c r="E28" s="110" t="n"/>
      <c r="F28" s="45" t="n"/>
    </row>
    <row r="29" ht="14.5" customHeight="1">
      <c r="A29" s="124" t="n"/>
      <c r="B29" s="44" t="n"/>
      <c r="C29" s="44" t="n"/>
      <c r="D29" s="45" t="n"/>
      <c r="E29" s="110" t="n"/>
      <c r="F29" s="45" t="n"/>
    </row>
    <row r="30" ht="14.5" customHeight="1">
      <c r="A30" s="124" t="n"/>
      <c r="B30" s="44" t="n"/>
      <c r="C30" s="44" t="n"/>
      <c r="D30" s="45" t="n"/>
      <c r="E30" s="110" t="n"/>
      <c r="F30" s="45" t="n"/>
    </row>
    <row r="31" ht="14.5" customHeight="1">
      <c r="A31" s="124" t="n"/>
      <c r="B31" s="44" t="n"/>
      <c r="C31" s="44" t="n"/>
      <c r="D31" s="45" t="n"/>
      <c r="E31" s="110" t="n"/>
      <c r="F31" s="45" t="n"/>
    </row>
    <row r="32" ht="14.5" customHeight="1">
      <c r="A32" s="124" t="n"/>
      <c r="B32" s="44" t="n"/>
      <c r="C32" s="44" t="n"/>
      <c r="D32" s="45" t="n"/>
      <c r="E32" s="110" t="n"/>
      <c r="F32" s="45" t="n"/>
    </row>
    <row r="33" ht="14.5" customHeight="1">
      <c r="A33" s="124" t="n"/>
      <c r="B33" s="44" t="n"/>
      <c r="C33" s="44" t="n"/>
      <c r="D33" s="45" t="n"/>
      <c r="E33" s="110" t="n"/>
      <c r="F33" s="45" t="n"/>
    </row>
    <row r="34" ht="14.5" customHeight="1">
      <c r="A34" s="124" t="n"/>
      <c r="B34" s="44" t="n"/>
      <c r="C34" s="44" t="n"/>
      <c r="D34" s="45" t="n"/>
      <c r="E34" s="110" t="n"/>
      <c r="F34" s="45" t="n"/>
    </row>
    <row r="35" ht="14.5" customHeight="1">
      <c r="A35" s="124" t="n"/>
      <c r="B35" s="44" t="n"/>
      <c r="C35" s="44" t="n"/>
      <c r="D35" s="45" t="n"/>
      <c r="E35" s="110" t="n"/>
      <c r="F35" s="45" t="n"/>
    </row>
    <row r="36" ht="14.5" customHeight="1">
      <c r="A36" s="124" t="n"/>
      <c r="B36" s="44" t="n"/>
      <c r="C36" s="44" t="n"/>
      <c r="D36" s="45" t="n"/>
      <c r="E36" s="110" t="n"/>
      <c r="F36" s="45" t="n"/>
    </row>
    <row r="37" ht="14.5" customHeight="1">
      <c r="A37" s="124" t="n"/>
      <c r="B37" s="44" t="n"/>
      <c r="C37" s="44" t="n"/>
      <c r="D37" s="45" t="n"/>
      <c r="E37" s="110" t="n"/>
      <c r="F37" s="45" t="n"/>
    </row>
    <row r="38" ht="14.5" customHeight="1">
      <c r="A38" s="124" t="n"/>
      <c r="B38" s="44" t="n"/>
      <c r="C38" s="44" t="n"/>
      <c r="D38" s="45" t="n"/>
      <c r="E38" s="110" t="n"/>
      <c r="F38" s="45" t="n"/>
    </row>
    <row r="39" ht="14.5" customHeight="1">
      <c r="A39" s="124" t="n"/>
      <c r="B39" s="44" t="n"/>
      <c r="C39" s="44" t="n"/>
      <c r="D39" s="45" t="n"/>
      <c r="E39" s="110" t="n"/>
      <c r="F39" s="45" t="n"/>
    </row>
    <row r="40" ht="14.5" customHeight="1">
      <c r="A40" s="124" t="n"/>
      <c r="B40" s="44" t="n"/>
      <c r="C40" s="44" t="n"/>
      <c r="D40" s="45" t="n"/>
      <c r="E40" s="110" t="n"/>
      <c r="F40" s="45" t="n"/>
    </row>
    <row r="41" ht="14.5" customHeight="1">
      <c r="A41" s="124" t="n"/>
      <c r="B41" s="44" t="n"/>
      <c r="C41" s="44" t="n"/>
      <c r="D41" s="45" t="n"/>
      <c r="E41" s="110" t="n"/>
      <c r="F41" s="45" t="n"/>
    </row>
    <row r="42" ht="14.5" customHeight="1">
      <c r="A42" s="124" t="n"/>
      <c r="B42" s="44" t="n"/>
      <c r="C42" s="44" t="n"/>
      <c r="D42" s="45" t="n"/>
      <c r="E42" s="110" t="n"/>
      <c r="F42" s="45" t="n"/>
    </row>
    <row r="43" ht="14.5" customHeight="1">
      <c r="A43" s="124" t="n"/>
      <c r="B43" s="44" t="n"/>
      <c r="C43" s="44" t="n"/>
      <c r="D43" s="45" t="n"/>
      <c r="E43" s="110" t="n"/>
      <c r="F43" s="45" t="n"/>
    </row>
    <row r="44" ht="14.5" customHeight="1">
      <c r="A44" s="124" t="n"/>
      <c r="B44" s="44" t="n"/>
      <c r="C44" s="44" t="n"/>
      <c r="D44" s="45" t="n"/>
      <c r="E44" s="110" t="n"/>
      <c r="F44" s="45" t="n"/>
    </row>
    <row r="45" ht="14.5" customHeight="1">
      <c r="A45" s="124" t="n"/>
      <c r="B45" s="44" t="n"/>
      <c r="C45" s="44" t="n"/>
      <c r="D45" s="45" t="n"/>
      <c r="E45" s="110" t="n"/>
      <c r="F45" s="45" t="n"/>
    </row>
    <row r="46" ht="14.5" customHeight="1">
      <c r="A46" s="124" t="n"/>
      <c r="B46" s="44" t="n"/>
      <c r="C46" s="44" t="n"/>
      <c r="D46" s="45" t="n"/>
      <c r="E46" s="110" t="n"/>
      <c r="F46" s="45" t="n"/>
    </row>
    <row r="47" ht="14.5" customHeight="1">
      <c r="A47" s="124" t="n"/>
      <c r="B47" s="44" t="n"/>
      <c r="C47" s="44" t="n"/>
      <c r="D47" s="45" t="n"/>
      <c r="E47" s="110" t="n"/>
      <c r="F47" s="45" t="n"/>
    </row>
    <row r="48" ht="14.5" customHeight="1">
      <c r="A48" s="124" t="n"/>
      <c r="B48" s="44" t="n"/>
      <c r="C48" s="44" t="n"/>
      <c r="D48" s="45" t="n"/>
      <c r="E48" s="110" t="n"/>
      <c r="F48" s="45" t="n"/>
    </row>
    <row r="49" ht="14.5" customHeight="1">
      <c r="A49" s="124" t="n"/>
      <c r="B49" s="44" t="n"/>
      <c r="C49" s="44" t="n"/>
      <c r="D49" s="45" t="n"/>
      <c r="E49" s="110" t="n"/>
      <c r="F49" s="45" t="n"/>
    </row>
    <row r="50" ht="14.5" customHeight="1">
      <c r="A50" s="124" t="n"/>
      <c r="B50" s="44" t="n"/>
      <c r="C50" s="44" t="n"/>
      <c r="D50" s="45" t="n"/>
      <c r="E50" s="110" t="n"/>
      <c r="F50" s="45" t="n"/>
    </row>
    <row r="51" ht="14.5" customHeight="1">
      <c r="A51" s="124" t="n"/>
      <c r="B51" s="44" t="n"/>
      <c r="C51" s="44" t="n"/>
      <c r="D51" s="45" t="n"/>
      <c r="E51" s="110" t="n"/>
      <c r="F51" s="45" t="n"/>
    </row>
    <row r="52" ht="14.5" customHeight="1">
      <c r="A52" s="124" t="n"/>
      <c r="B52" s="44" t="n"/>
      <c r="C52" s="44" t="n"/>
      <c r="D52" s="45" t="n"/>
      <c r="E52" s="110" t="n"/>
      <c r="F52" s="45" t="n"/>
    </row>
    <row r="53" ht="14.5" customHeight="1">
      <c r="A53" s="124" t="n"/>
      <c r="B53" s="44" t="n"/>
      <c r="C53" s="44" t="n"/>
      <c r="D53" s="45" t="n"/>
      <c r="E53" s="110" t="n"/>
      <c r="F53" s="45" t="n"/>
    </row>
    <row r="54" ht="14.5" customHeight="1">
      <c r="A54" s="124" t="n"/>
      <c r="B54" s="44" t="n"/>
      <c r="C54" s="44" t="n"/>
      <c r="D54" s="45" t="n"/>
      <c r="E54" s="110" t="n"/>
      <c r="F54" s="45" t="n"/>
    </row>
    <row r="55" ht="14.5" customHeight="1">
      <c r="A55" s="124" t="n"/>
      <c r="B55" s="44" t="n"/>
      <c r="C55" s="44" t="n"/>
      <c r="D55" s="45" t="n"/>
      <c r="E55" s="110" t="n"/>
      <c r="F55" s="45" t="n"/>
    </row>
    <row r="56" ht="14.5" customHeight="1">
      <c r="A56" s="124" t="n"/>
      <c r="B56" s="44" t="n"/>
      <c r="C56" s="44" t="n"/>
      <c r="D56" s="45" t="n"/>
      <c r="E56" s="110" t="n"/>
      <c r="F56" s="45" t="n"/>
    </row>
    <row r="57" ht="14.5" customHeight="1">
      <c r="A57" s="124" t="n"/>
      <c r="B57" s="44" t="n"/>
      <c r="C57" s="44" t="n"/>
      <c r="D57" s="45" t="n"/>
      <c r="E57" s="110" t="n"/>
      <c r="F57" s="45" t="n"/>
    </row>
    <row r="58" ht="14.5" customHeight="1">
      <c r="A58" s="124" t="n"/>
      <c r="B58" s="44" t="n"/>
      <c r="C58" s="44" t="n"/>
      <c r="D58" s="45" t="n"/>
      <c r="E58" s="110" t="n"/>
      <c r="F58" s="45" t="n"/>
    </row>
    <row r="59" ht="14.5" customHeight="1">
      <c r="A59" s="124" t="n"/>
      <c r="B59" s="44" t="n"/>
      <c r="C59" s="44" t="n"/>
      <c r="D59" s="45" t="n"/>
      <c r="E59" s="110" t="n"/>
      <c r="F59" s="45" t="n"/>
    </row>
    <row r="60" ht="14.5" customHeight="1">
      <c r="A60" s="124" t="n"/>
      <c r="B60" s="44" t="n"/>
      <c r="C60" s="44" t="n"/>
      <c r="D60" s="45" t="n"/>
      <c r="E60" s="110" t="n"/>
      <c r="F60" s="45" t="n"/>
    </row>
    <row r="61" ht="14.5" customHeight="1">
      <c r="A61" s="124" t="n"/>
      <c r="B61" s="44" t="n"/>
      <c r="C61" s="44" t="n"/>
      <c r="D61" s="45" t="n"/>
      <c r="E61" s="110" t="n"/>
      <c r="F61" s="45" t="n"/>
    </row>
    <row r="62" ht="14.5" customHeight="1">
      <c r="A62" s="124" t="n"/>
      <c r="B62" s="44" t="n"/>
      <c r="C62" s="44" t="n"/>
      <c r="D62" s="45" t="n"/>
      <c r="E62" s="110" t="n"/>
      <c r="F62" s="45" t="n"/>
    </row>
    <row r="63" ht="14.5" customHeight="1">
      <c r="A63" s="124" t="n"/>
      <c r="B63" s="44" t="n"/>
      <c r="C63" s="44" t="n"/>
      <c r="D63" s="45" t="n"/>
      <c r="E63" s="110" t="n"/>
      <c r="F63" s="45" t="n"/>
    </row>
    <row r="64" ht="14.5" customHeight="1">
      <c r="A64" s="124" t="n"/>
      <c r="B64" s="44" t="n"/>
      <c r="C64" s="44" t="n"/>
      <c r="D64" s="45" t="n"/>
      <c r="E64" s="110" t="n"/>
      <c r="F64" s="45" t="n"/>
    </row>
    <row r="65" ht="14.5" customHeight="1">
      <c r="A65" s="124" t="n"/>
      <c r="B65" s="44" t="n"/>
      <c r="C65" s="44" t="n"/>
      <c r="D65" s="45" t="n"/>
      <c r="E65" s="110" t="n"/>
      <c r="F65" s="45" t="n"/>
    </row>
    <row r="66" ht="14.5" customHeight="1">
      <c r="A66" s="124" t="n"/>
      <c r="B66" s="44" t="n"/>
      <c r="C66" s="44" t="n"/>
      <c r="D66" s="45" t="n"/>
      <c r="E66" s="110" t="n"/>
      <c r="F66" s="45" t="n"/>
    </row>
    <row r="67" ht="14.5" customHeight="1">
      <c r="A67" s="124" t="n"/>
      <c r="B67" s="44" t="n"/>
      <c r="C67" s="44" t="n"/>
      <c r="D67" s="45" t="n"/>
      <c r="E67" s="110" t="n"/>
      <c r="F67" s="45" t="n"/>
    </row>
    <row r="68" ht="14.5" customHeight="1">
      <c r="A68" s="124" t="n"/>
      <c r="B68" s="44" t="n"/>
      <c r="C68" s="44" t="n"/>
      <c r="D68" s="45" t="n"/>
      <c r="E68" s="110" t="n"/>
      <c r="F68" s="45" t="n"/>
    </row>
    <row r="69" ht="14.5" customHeight="1">
      <c r="A69" s="124" t="n"/>
      <c r="B69" s="44" t="n"/>
      <c r="C69" s="44" t="n"/>
      <c r="D69" s="45" t="n"/>
      <c r="E69" s="110" t="n"/>
      <c r="F69" s="45" t="n"/>
    </row>
    <row r="70" ht="14.5" customHeight="1">
      <c r="A70" s="124" t="n"/>
      <c r="B70" s="44" t="n"/>
      <c r="C70" s="44" t="n"/>
      <c r="D70" s="45" t="n"/>
      <c r="E70" s="110" t="n"/>
      <c r="F70" s="45" t="n"/>
    </row>
    <row r="71" ht="14.5" customHeight="1">
      <c r="A71" s="124" t="n"/>
      <c r="B71" s="44" t="n"/>
      <c r="C71" s="44" t="n"/>
      <c r="D71" s="45" t="n"/>
      <c r="E71" s="110" t="n"/>
      <c r="F71" s="45" t="n"/>
    </row>
    <row r="72" ht="14.5" customHeight="1">
      <c r="A72" s="124" t="n"/>
      <c r="B72" s="44" t="n"/>
      <c r="C72" s="44" t="n"/>
      <c r="D72" s="45" t="n"/>
      <c r="E72" s="110" t="n"/>
      <c r="F72" s="45" t="n"/>
    </row>
    <row r="73" ht="14.5" customHeight="1">
      <c r="A73" s="124" t="n"/>
      <c r="B73" s="44" t="n"/>
      <c r="C73" s="44" t="n"/>
      <c r="D73" s="45" t="n"/>
      <c r="E73" s="110" t="n"/>
      <c r="F73" s="45" t="n"/>
    </row>
    <row r="74" ht="14.5" customHeight="1">
      <c r="A74" s="124" t="n"/>
      <c r="B74" s="44" t="n"/>
      <c r="C74" s="44" t="n"/>
      <c r="D74" s="45" t="n"/>
      <c r="E74" s="110" t="n"/>
      <c r="F74" s="45" t="n"/>
    </row>
    <row r="75" ht="14.5" customHeight="1">
      <c r="A75" s="124" t="n"/>
      <c r="B75" s="44" t="n"/>
      <c r="C75" s="44" t="n"/>
      <c r="D75" s="45" t="n"/>
      <c r="E75" s="110" t="n"/>
      <c r="F75" s="45" t="n"/>
    </row>
    <row r="76" ht="14.5" customHeight="1">
      <c r="A76" s="124" t="n"/>
      <c r="B76" s="44" t="n"/>
      <c r="C76" s="44" t="n"/>
      <c r="D76" s="45" t="n"/>
      <c r="E76" s="110" t="n"/>
      <c r="F76" s="45" t="n"/>
    </row>
    <row r="77" ht="14.5" customHeight="1">
      <c r="A77" s="124" t="n"/>
      <c r="B77" s="44" t="n"/>
      <c r="C77" s="44" t="n"/>
      <c r="D77" s="45" t="n"/>
      <c r="E77" s="110" t="n"/>
      <c r="F77" s="45" t="n"/>
    </row>
    <row r="78" ht="14.5" customHeight="1">
      <c r="A78" s="124" t="n"/>
      <c r="B78" s="44" t="n"/>
      <c r="C78" s="44" t="n"/>
      <c r="D78" s="45" t="n"/>
      <c r="E78" s="110" t="n"/>
      <c r="F78" s="45" t="n"/>
    </row>
    <row r="79" ht="14.5" customHeight="1">
      <c r="A79" s="124" t="n"/>
      <c r="B79" s="44" t="n"/>
      <c r="C79" s="44" t="n"/>
      <c r="D79" s="45" t="n"/>
      <c r="E79" s="110" t="n"/>
      <c r="F79" s="45" t="n"/>
    </row>
    <row r="80" ht="14.5" customHeight="1">
      <c r="A80" s="124" t="n"/>
      <c r="B80" s="44" t="n"/>
      <c r="C80" s="44" t="n"/>
      <c r="D80" s="45" t="n"/>
      <c r="E80" s="110" t="n"/>
      <c r="F80" s="45" t="n"/>
    </row>
    <row r="81" ht="14.5" customHeight="1">
      <c r="A81" s="124" t="n"/>
      <c r="B81" s="44" t="n"/>
      <c r="C81" s="44" t="n"/>
      <c r="D81" s="45" t="n"/>
      <c r="E81" s="110" t="n"/>
      <c r="F81" s="45" t="n"/>
    </row>
    <row r="82" ht="14.5" customHeight="1">
      <c r="A82" s="124" t="n"/>
      <c r="B82" s="44" t="n"/>
      <c r="C82" s="44" t="n"/>
      <c r="D82" s="45" t="n"/>
      <c r="E82" s="110" t="n"/>
      <c r="F82" s="45" t="n"/>
    </row>
    <row r="83" ht="14.5" customHeight="1">
      <c r="A83" s="124" t="n"/>
      <c r="B83" s="44" t="n"/>
      <c r="C83" s="44" t="n"/>
      <c r="D83" s="45" t="n"/>
      <c r="E83" s="110" t="n"/>
      <c r="F83" s="45" t="n"/>
    </row>
    <row r="84" ht="14.5" customHeight="1">
      <c r="A84" s="124" t="n"/>
      <c r="B84" s="44" t="n"/>
      <c r="C84" s="44" t="n"/>
      <c r="D84" s="45" t="n"/>
      <c r="E84" s="110" t="n"/>
      <c r="F84" s="45" t="n"/>
    </row>
    <row r="85" ht="14.5" customHeight="1">
      <c r="A85" s="124" t="n"/>
      <c r="B85" s="44" t="n"/>
      <c r="C85" s="44" t="n"/>
      <c r="D85" s="45" t="n"/>
      <c r="E85" s="110" t="n"/>
      <c r="F85" s="45" t="n"/>
    </row>
    <row r="86" ht="14.5" customHeight="1">
      <c r="A86" s="124" t="n"/>
      <c r="B86" s="44" t="n"/>
      <c r="C86" s="44" t="n"/>
      <c r="D86" s="45" t="n"/>
      <c r="E86" s="110" t="n"/>
      <c r="F86" s="45" t="n"/>
    </row>
    <row r="87" ht="14.5" customHeight="1">
      <c r="A87" s="124" t="n"/>
      <c r="B87" s="44" t="n"/>
      <c r="C87" s="44" t="n"/>
      <c r="D87" s="45" t="n"/>
      <c r="E87" s="110" t="n"/>
      <c r="F87" s="45" t="n"/>
    </row>
    <row r="88" ht="14.5" customHeight="1">
      <c r="A88" s="124" t="n"/>
      <c r="B88" s="44" t="n"/>
      <c r="C88" s="44" t="n"/>
      <c r="D88" s="45" t="n"/>
      <c r="E88" s="110" t="n"/>
      <c r="F88" s="45" t="n"/>
    </row>
    <row r="89" ht="14.5" customHeight="1">
      <c r="A89" s="124" t="n"/>
      <c r="B89" s="44" t="n"/>
      <c r="C89" s="44" t="n"/>
      <c r="D89" s="45" t="n"/>
      <c r="E89" s="110" t="n"/>
      <c r="F89" s="45" t="n"/>
    </row>
    <row r="90" ht="14.5" customHeight="1">
      <c r="A90" s="124" t="n"/>
      <c r="B90" s="44" t="n"/>
      <c r="C90" s="44" t="n"/>
      <c r="D90" s="45" t="n"/>
      <c r="E90" s="110" t="n"/>
      <c r="F90" s="45" t="n"/>
    </row>
    <row r="91" ht="14.5" customHeight="1">
      <c r="A91" s="124" t="n"/>
      <c r="B91" s="44" t="n"/>
      <c r="C91" s="44" t="n"/>
      <c r="D91" s="45" t="n"/>
      <c r="E91" s="110" t="n"/>
      <c r="F91" s="45" t="n"/>
    </row>
    <row r="92" ht="14.5" customHeight="1">
      <c r="A92" s="124" t="n"/>
      <c r="B92" s="44" t="n"/>
      <c r="C92" s="44" t="n"/>
      <c r="D92" s="45" t="n"/>
      <c r="E92" s="110" t="n"/>
      <c r="F92" s="45" t="n"/>
    </row>
    <row r="93" ht="14.5" customHeight="1">
      <c r="A93" s="124" t="n"/>
      <c r="B93" s="44" t="n"/>
      <c r="C93" s="44" t="n"/>
      <c r="D93" s="45" t="n"/>
      <c r="E93" s="110" t="n"/>
      <c r="F93" s="45" t="n"/>
    </row>
    <row r="94" ht="14.5" customHeight="1">
      <c r="A94" s="124" t="n"/>
      <c r="B94" s="44" t="n"/>
      <c r="C94" s="44" t="n"/>
      <c r="D94" s="45" t="n"/>
      <c r="E94" s="110" t="n"/>
      <c r="F94" s="45" t="n"/>
    </row>
    <row r="95" ht="14.5" customHeight="1">
      <c r="A95" s="124" t="n"/>
      <c r="B95" s="44" t="n"/>
      <c r="C95" s="44" t="n"/>
      <c r="D95" s="45" t="n"/>
      <c r="E95" s="110" t="n"/>
      <c r="F95" s="45" t="n"/>
    </row>
    <row r="96" ht="14.5" customHeight="1">
      <c r="A96" s="124" t="n"/>
      <c r="B96" s="44" t="n"/>
      <c r="C96" s="44" t="n"/>
      <c r="D96" s="45" t="n"/>
      <c r="E96" s="110" t="n"/>
      <c r="F96" s="45" t="n"/>
    </row>
    <row r="97" ht="14.5" customHeight="1">
      <c r="A97" s="124" t="n"/>
      <c r="B97" s="44" t="n"/>
      <c r="C97" s="44" t="n"/>
      <c r="D97" s="45" t="n"/>
      <c r="E97" s="110" t="n"/>
      <c r="F97" s="45" t="n"/>
    </row>
    <row r="98" ht="14.5" customHeight="1">
      <c r="A98" s="124" t="n"/>
      <c r="B98" s="44" t="n"/>
      <c r="C98" s="44" t="n"/>
      <c r="D98" s="45" t="n"/>
      <c r="E98" s="110" t="n"/>
      <c r="F98" s="45" t="n"/>
    </row>
    <row r="99" ht="14.5" customHeight="1">
      <c r="A99" s="124" t="n"/>
      <c r="B99" s="44" t="n"/>
      <c r="C99" s="44" t="n"/>
      <c r="D99" s="45" t="n"/>
      <c r="E99" s="110" t="n"/>
      <c r="F99" s="45" t="n"/>
    </row>
    <row r="100" ht="14.5" customHeight="1">
      <c r="A100" s="124" t="n"/>
      <c r="B100" s="44" t="n"/>
      <c r="C100" s="44" t="n"/>
      <c r="D100" s="45" t="n"/>
      <c r="E100" s="110" t="n"/>
      <c r="F100" s="45" t="n"/>
    </row>
    <row r="101" ht="14.5" customHeight="1">
      <c r="A101" s="124" t="n"/>
      <c r="B101" s="44" t="n"/>
      <c r="C101" s="44" t="n"/>
      <c r="D101" s="45" t="n"/>
      <c r="E101" s="110" t="n"/>
      <c r="F101" s="45" t="n"/>
    </row>
    <row r="102" ht="14.5" customHeight="1">
      <c r="A102" s="124" t="n"/>
      <c r="B102" s="44" t="n"/>
      <c r="C102" s="44" t="n"/>
      <c r="D102" s="45" t="n"/>
      <c r="E102" s="110" t="n"/>
      <c r="F102" s="45" t="n"/>
    </row>
    <row r="103" ht="14.5" customHeight="1">
      <c r="A103" s="124" t="n"/>
      <c r="B103" s="44" t="n"/>
      <c r="C103" s="44" t="n"/>
      <c r="D103" s="45" t="n"/>
      <c r="E103" s="110" t="n"/>
      <c r="F103" s="45" t="n"/>
    </row>
    <row r="104" ht="14.5" customHeight="1">
      <c r="A104" s="124" t="n"/>
      <c r="B104" s="44" t="n"/>
      <c r="C104" s="44" t="n"/>
      <c r="D104" s="45" t="n"/>
      <c r="E104" s="110" t="n"/>
      <c r="F104" s="45" t="n"/>
    </row>
    <row r="105" ht="14.5" customHeight="1">
      <c r="A105" s="124" t="n"/>
      <c r="B105" s="44" t="n"/>
      <c r="C105" s="44" t="n"/>
      <c r="D105" s="45" t="n"/>
      <c r="E105" s="110" t="n"/>
      <c r="F105" s="45" t="n"/>
    </row>
    <row r="106" ht="14.5" customHeight="1">
      <c r="A106" s="124" t="n"/>
      <c r="B106" s="44" t="n"/>
      <c r="C106" s="44" t="n"/>
      <c r="D106" s="45" t="n"/>
      <c r="E106" s="110" t="n"/>
      <c r="F106" s="45" t="n"/>
    </row>
    <row r="107" ht="14.5" customHeight="1">
      <c r="A107" s="124" t="n"/>
      <c r="B107" s="44" t="n"/>
      <c r="C107" s="44" t="n"/>
      <c r="D107" s="45" t="n"/>
      <c r="E107" s="110" t="n"/>
      <c r="F107" s="45" t="n"/>
    </row>
    <row r="108" ht="14.5" customHeight="1">
      <c r="A108" s="124" t="n"/>
      <c r="B108" s="44" t="n"/>
      <c r="C108" s="44" t="n"/>
      <c r="D108" s="45" t="n"/>
      <c r="E108" s="110" t="n"/>
      <c r="F108" s="45" t="n"/>
    </row>
    <row r="109" ht="14.5" customHeight="1">
      <c r="A109" s="124" t="n"/>
      <c r="B109" s="44" t="n"/>
      <c r="C109" s="44" t="n"/>
      <c r="D109" s="45" t="n"/>
      <c r="E109" s="110" t="n"/>
      <c r="F109" s="45" t="n"/>
    </row>
    <row r="110" ht="14.5" customHeight="1">
      <c r="A110" s="124" t="n"/>
      <c r="B110" s="44" t="n"/>
      <c r="C110" s="44" t="n"/>
      <c r="D110" s="45" t="n"/>
      <c r="E110" s="110" t="n"/>
      <c r="F110" s="45" t="n"/>
    </row>
    <row r="111" ht="14.5" customHeight="1">
      <c r="A111" s="124" t="n"/>
      <c r="B111" s="44" t="n"/>
      <c r="C111" s="44" t="n"/>
      <c r="D111" s="45" t="n"/>
      <c r="E111" s="110" t="n"/>
      <c r="F111" s="45" t="n"/>
    </row>
    <row r="112" ht="14.5" customHeight="1">
      <c r="A112" s="124" t="n"/>
      <c r="B112" s="44" t="n"/>
      <c r="C112" s="44" t="n"/>
      <c r="D112" s="45" t="n"/>
      <c r="E112" s="110" t="n"/>
      <c r="F112" s="45" t="n"/>
    </row>
    <row r="113" ht="14.5" customHeight="1">
      <c r="A113" s="124" t="n"/>
      <c r="B113" s="44" t="n"/>
      <c r="C113" s="44" t="n"/>
      <c r="D113" s="45" t="n"/>
      <c r="E113" s="110" t="n"/>
      <c r="F113" s="45" t="n"/>
    </row>
    <row r="114" ht="14.5" customHeight="1">
      <c r="A114" s="124" t="n"/>
      <c r="B114" s="44" t="n"/>
      <c r="C114" s="44" t="n"/>
      <c r="D114" s="45" t="n"/>
      <c r="E114" s="110" t="n"/>
      <c r="F114" s="45" t="n"/>
    </row>
    <row r="115" ht="14.5" customHeight="1">
      <c r="A115" s="124" t="n"/>
      <c r="B115" s="44" t="n"/>
      <c r="C115" s="44" t="n"/>
      <c r="D115" s="45" t="n"/>
      <c r="E115" s="110" t="n"/>
      <c r="F115" s="45" t="n"/>
    </row>
    <row r="116" ht="14.5" customHeight="1">
      <c r="A116" s="124" t="n"/>
      <c r="B116" s="44" t="n"/>
      <c r="C116" s="44" t="n"/>
      <c r="D116" s="45" t="n"/>
      <c r="E116" s="110" t="n"/>
      <c r="F116" s="45" t="n"/>
    </row>
    <row r="117" ht="14.5" customHeight="1">
      <c r="A117" s="124" t="n"/>
      <c r="B117" s="44" t="n"/>
      <c r="C117" s="44" t="n"/>
      <c r="D117" s="45" t="n"/>
      <c r="E117" s="110" t="n"/>
      <c r="F117" s="45" t="n"/>
    </row>
    <row r="118" ht="14.5" customHeight="1">
      <c r="A118" s="124" t="n"/>
      <c r="B118" s="44" t="n"/>
      <c r="C118" s="44" t="n"/>
      <c r="D118" s="45" t="n"/>
      <c r="E118" s="110" t="n"/>
      <c r="F118" s="45" t="n"/>
    </row>
    <row r="119" ht="14.5" customHeight="1">
      <c r="A119" s="124" t="n"/>
      <c r="B119" s="44" t="n"/>
      <c r="C119" s="44" t="n"/>
      <c r="D119" s="45" t="n"/>
      <c r="E119" s="110" t="n"/>
      <c r="F119" s="45" t="n"/>
    </row>
    <row r="120" ht="14.5" customHeight="1">
      <c r="A120" s="124" t="n"/>
      <c r="B120" s="44" t="n"/>
      <c r="C120" s="44" t="n"/>
      <c r="D120" s="45" t="n"/>
      <c r="E120" s="110" t="n"/>
      <c r="F120" s="45" t="n"/>
    </row>
    <row r="121" ht="14.5" customHeight="1">
      <c r="A121" s="124" t="n"/>
      <c r="B121" s="44" t="n"/>
      <c r="C121" s="44" t="n"/>
      <c r="D121" s="45" t="n"/>
      <c r="E121" s="110" t="n"/>
      <c r="F121" s="45" t="n"/>
    </row>
    <row r="122" ht="14.5" customHeight="1">
      <c r="A122" s="124" t="n"/>
      <c r="B122" s="44" t="n"/>
      <c r="C122" s="44" t="n"/>
      <c r="D122" s="45" t="n"/>
      <c r="E122" s="110" t="n"/>
      <c r="F122" s="45" t="n"/>
    </row>
    <row r="123" ht="14.5" customHeight="1">
      <c r="A123" s="124" t="n"/>
      <c r="B123" s="44" t="n"/>
      <c r="C123" s="44" t="n"/>
      <c r="D123" s="45" t="n"/>
      <c r="E123" s="110" t="n"/>
      <c r="F123" s="45" t="n"/>
    </row>
    <row r="124" ht="14.5" customHeight="1">
      <c r="A124" s="124" t="n"/>
      <c r="B124" s="44" t="n"/>
      <c r="C124" s="44" t="n"/>
      <c r="D124" s="45" t="n"/>
      <c r="E124" s="110" t="n"/>
      <c r="F124" s="45" t="n"/>
    </row>
    <row r="125" ht="14.5" customHeight="1">
      <c r="A125" s="124" t="n"/>
      <c r="B125" s="44" t="n"/>
      <c r="C125" s="44" t="n"/>
      <c r="D125" s="45" t="n"/>
      <c r="E125" s="110" t="n"/>
      <c r="F125" s="45" t="n"/>
    </row>
    <row r="126" ht="14.5" customHeight="1">
      <c r="A126" s="124" t="n"/>
      <c r="B126" s="44" t="n"/>
      <c r="C126" s="44" t="n"/>
      <c r="D126" s="45" t="n"/>
      <c r="E126" s="110" t="n"/>
      <c r="F126" s="45" t="n"/>
    </row>
    <row r="127" ht="14.5" customHeight="1">
      <c r="A127" s="124" t="n"/>
      <c r="B127" s="44" t="n"/>
      <c r="C127" s="44" t="n"/>
      <c r="D127" s="45" t="n"/>
      <c r="E127" s="110" t="n"/>
      <c r="F127" s="45" t="n"/>
    </row>
    <row r="128" ht="14.5" customHeight="1">
      <c r="A128" s="124" t="n"/>
      <c r="B128" s="44" t="n"/>
      <c r="C128" s="44" t="n"/>
      <c r="D128" s="45" t="n"/>
      <c r="E128" s="110" t="n"/>
      <c r="F128" s="45" t="n"/>
    </row>
    <row r="129" ht="14.5" customHeight="1">
      <c r="A129" s="124" t="n"/>
      <c r="B129" s="44" t="n"/>
      <c r="C129" s="44" t="n"/>
      <c r="D129" s="45" t="n"/>
      <c r="E129" s="110" t="n"/>
      <c r="F129" s="45" t="n"/>
    </row>
    <row r="130" ht="14.5" customHeight="1">
      <c r="A130" s="124" t="n"/>
      <c r="B130" s="44" t="n"/>
      <c r="C130" s="44" t="n"/>
      <c r="D130" s="45" t="n"/>
      <c r="E130" s="110" t="n"/>
      <c r="F130" s="45" t="n"/>
    </row>
    <row r="131" ht="14.5" customHeight="1">
      <c r="A131" s="124" t="n"/>
      <c r="B131" s="44" t="n"/>
      <c r="C131" s="44" t="n"/>
      <c r="D131" s="45" t="n"/>
      <c r="E131" s="110" t="n"/>
      <c r="F131" s="45" t="n"/>
    </row>
    <row r="132" ht="14.5" customHeight="1">
      <c r="A132" s="124" t="n"/>
      <c r="B132" s="44" t="n"/>
      <c r="C132" s="44" t="n"/>
      <c r="D132" s="45" t="n"/>
      <c r="E132" s="110" t="n"/>
      <c r="F132" s="45" t="n"/>
    </row>
    <row r="133" ht="14.5" customHeight="1">
      <c r="A133" s="124" t="n"/>
      <c r="B133" s="44" t="n"/>
      <c r="C133" s="44" t="n"/>
      <c r="D133" s="45" t="n"/>
      <c r="E133" s="110" t="n"/>
      <c r="F133" s="45" t="n"/>
    </row>
    <row r="134" ht="14.5" customHeight="1">
      <c r="A134" s="124" t="n"/>
      <c r="B134" s="44" t="n"/>
      <c r="C134" s="44" t="n"/>
      <c r="D134" s="45" t="n"/>
      <c r="E134" s="110" t="n"/>
      <c r="F134" s="45" t="n"/>
    </row>
    <row r="135" ht="14.5" customHeight="1">
      <c r="A135" s="124" t="n"/>
      <c r="B135" s="44" t="n"/>
      <c r="C135" s="44" t="n"/>
      <c r="D135" s="45" t="n"/>
      <c r="E135" s="110" t="n"/>
      <c r="F135" s="45" t="n"/>
    </row>
    <row r="136" ht="14.5" customHeight="1">
      <c r="A136" s="124" t="n"/>
      <c r="B136" s="44" t="n"/>
      <c r="C136" s="44" t="n"/>
      <c r="D136" s="45" t="n"/>
      <c r="E136" s="110" t="n"/>
      <c r="F136" s="45" t="n"/>
    </row>
    <row r="137" ht="14.5" customHeight="1">
      <c r="A137" s="124" t="n"/>
      <c r="B137" s="44" t="n"/>
      <c r="C137" s="44" t="n"/>
      <c r="D137" s="45" t="n"/>
      <c r="E137" s="110" t="n"/>
      <c r="F137" s="45" t="n"/>
    </row>
    <row r="138" ht="14.5" customHeight="1">
      <c r="A138" s="124" t="n"/>
      <c r="B138" s="44" t="n"/>
      <c r="C138" s="44" t="n"/>
      <c r="D138" s="45" t="n"/>
      <c r="E138" s="110" t="n"/>
      <c r="F138" s="45" t="n"/>
    </row>
    <row r="139" ht="14.5" customHeight="1">
      <c r="A139" s="124" t="n"/>
      <c r="B139" s="44" t="n"/>
      <c r="C139" s="44" t="n"/>
      <c r="D139" s="45" t="n"/>
      <c r="E139" s="110" t="n"/>
      <c r="F139" s="45" t="n"/>
    </row>
    <row r="140" ht="14.5" customHeight="1">
      <c r="A140" s="124" t="n"/>
      <c r="B140" s="44" t="n"/>
      <c r="C140" s="44" t="n"/>
      <c r="D140" s="45" t="n"/>
      <c r="E140" s="110" t="n"/>
      <c r="F140" s="45" t="n"/>
    </row>
    <row r="141" ht="14.5" customHeight="1">
      <c r="A141" s="124" t="n"/>
      <c r="B141" s="44" t="n"/>
      <c r="C141" s="44" t="n"/>
      <c r="D141" s="45" t="n"/>
      <c r="E141" s="110" t="n"/>
      <c r="F141" s="45" t="n"/>
    </row>
    <row r="142" ht="14.5" customHeight="1">
      <c r="A142" s="124" t="n"/>
      <c r="B142" s="44" t="n"/>
      <c r="C142" s="44" t="n"/>
      <c r="D142" s="45" t="n"/>
      <c r="E142" s="110" t="n"/>
      <c r="F142" s="45" t="n"/>
    </row>
    <row r="143" ht="14.5" customHeight="1">
      <c r="A143" s="124" t="n"/>
      <c r="B143" s="44" t="n"/>
      <c r="C143" s="44" t="n"/>
      <c r="D143" s="45" t="n"/>
      <c r="E143" s="110" t="n"/>
      <c r="F143" s="45" t="n"/>
    </row>
    <row r="144" ht="14.5" customHeight="1">
      <c r="A144" s="124" t="n"/>
      <c r="B144" s="44" t="n"/>
      <c r="C144" s="44" t="n"/>
      <c r="D144" s="45" t="n"/>
      <c r="E144" s="110" t="n"/>
      <c r="F144" s="45" t="n"/>
    </row>
    <row r="145" ht="14.5" customHeight="1">
      <c r="A145" s="124" t="n"/>
      <c r="B145" s="44" t="n"/>
      <c r="C145" s="44" t="n"/>
      <c r="D145" s="45" t="n"/>
      <c r="E145" s="110" t="n"/>
      <c r="F145" s="45" t="n"/>
    </row>
    <row r="146" ht="14.5" customHeight="1">
      <c r="A146" s="124" t="n"/>
      <c r="B146" s="44" t="n"/>
      <c r="C146" s="44" t="n"/>
      <c r="D146" s="45" t="n"/>
      <c r="E146" s="110" t="n"/>
      <c r="F146" s="45" t="n"/>
    </row>
    <row r="147" ht="14.5" customHeight="1">
      <c r="A147" s="124" t="n"/>
      <c r="B147" s="44" t="n"/>
      <c r="C147" s="44" t="n"/>
      <c r="D147" s="45" t="n"/>
      <c r="E147" s="110" t="n"/>
      <c r="F147" s="45" t="n"/>
    </row>
    <row r="148" ht="14.5" customHeight="1">
      <c r="A148" s="124" t="n"/>
      <c r="B148" s="44" t="n"/>
      <c r="C148" s="44" t="n"/>
      <c r="D148" s="45" t="n"/>
      <c r="E148" s="110" t="n"/>
      <c r="F148" s="45" t="n"/>
    </row>
    <row r="149" ht="14.5" customHeight="1">
      <c r="A149" s="124" t="n"/>
      <c r="B149" s="44" t="n"/>
      <c r="C149" s="44" t="n"/>
      <c r="D149" s="45" t="n"/>
      <c r="E149" s="110" t="n"/>
      <c r="F149" s="45" t="n"/>
    </row>
    <row r="150" ht="14.5" customHeight="1">
      <c r="A150" s="124" t="n"/>
      <c r="B150" s="44" t="n"/>
      <c r="C150" s="44" t="n"/>
      <c r="D150" s="45" t="n"/>
      <c r="E150" s="110" t="n"/>
      <c r="F150" s="45" t="n"/>
    </row>
    <row r="151" ht="14.5" customHeight="1">
      <c r="A151" s="124" t="n"/>
      <c r="B151" s="44" t="n"/>
      <c r="C151" s="44" t="n"/>
      <c r="D151" s="45" t="n"/>
      <c r="E151" s="110" t="n"/>
      <c r="F151" s="45" t="n"/>
    </row>
    <row r="152" ht="14.5" customHeight="1">
      <c r="A152" s="124" t="n"/>
      <c r="B152" s="44" t="n"/>
      <c r="C152" s="44" t="n"/>
      <c r="D152" s="45" t="n"/>
      <c r="E152" s="110" t="n"/>
      <c r="F152" s="45" t="n"/>
    </row>
    <row r="153" ht="14.5" customHeight="1">
      <c r="A153" s="124" t="n"/>
      <c r="B153" s="44" t="n"/>
      <c r="C153" s="44" t="n"/>
      <c r="D153" s="45" t="n"/>
      <c r="E153" s="110" t="n"/>
      <c r="F153" s="45" t="n"/>
    </row>
    <row r="154" ht="14.5" customHeight="1">
      <c r="A154" s="124" t="n"/>
      <c r="B154" s="44" t="n"/>
      <c r="C154" s="44" t="n"/>
      <c r="D154" s="45" t="n"/>
      <c r="E154" s="110" t="n"/>
      <c r="F154" s="45" t="n"/>
    </row>
    <row r="155" ht="14.5" customHeight="1">
      <c r="A155" s="124" t="n"/>
      <c r="B155" s="44" t="n"/>
      <c r="C155" s="44" t="n"/>
      <c r="D155" s="45" t="n"/>
      <c r="E155" s="110" t="n"/>
      <c r="F155" s="45" t="n"/>
    </row>
    <row r="156" ht="14.5" customHeight="1">
      <c r="A156" s="124" t="n"/>
      <c r="B156" s="44" t="n"/>
      <c r="C156" s="44" t="n"/>
      <c r="D156" s="45" t="n"/>
      <c r="E156" s="110" t="n"/>
      <c r="F156" s="45" t="n"/>
    </row>
    <row r="157" ht="14.5" customHeight="1">
      <c r="A157" s="124" t="n"/>
      <c r="B157" s="44" t="n"/>
      <c r="C157" s="44" t="n"/>
      <c r="D157" s="45" t="n"/>
      <c r="E157" s="110" t="n"/>
      <c r="F157" s="45" t="n"/>
    </row>
    <row r="158" ht="14.5" customHeight="1">
      <c r="A158" s="124" t="n"/>
      <c r="B158" s="44" t="n"/>
      <c r="C158" s="44" t="n"/>
      <c r="D158" s="45" t="n"/>
      <c r="E158" s="110" t="n"/>
      <c r="F158" s="45" t="n"/>
    </row>
    <row r="159" ht="14.5" customHeight="1">
      <c r="A159" s="124" t="n"/>
      <c r="B159" s="44" t="n"/>
      <c r="C159" s="44" t="n"/>
      <c r="D159" s="45" t="n"/>
      <c r="E159" s="110" t="n"/>
      <c r="F159" s="45" t="n"/>
    </row>
    <row r="160" ht="14.5" customHeight="1">
      <c r="A160" s="124" t="n"/>
      <c r="B160" s="44" t="n"/>
      <c r="C160" s="44" t="n"/>
      <c r="D160" s="45" t="n"/>
      <c r="E160" s="110" t="n"/>
      <c r="F160" s="45" t="n"/>
    </row>
    <row r="161" ht="14.5" customHeight="1">
      <c r="A161" s="124" t="n"/>
      <c r="B161" s="44" t="n"/>
      <c r="C161" s="44" t="n"/>
      <c r="D161" s="45" t="n"/>
      <c r="E161" s="110" t="n"/>
      <c r="F161" s="45" t="n"/>
    </row>
    <row r="162" ht="14.5" customHeight="1">
      <c r="A162" s="124" t="n"/>
      <c r="B162" s="44" t="n"/>
      <c r="C162" s="44" t="n"/>
      <c r="D162" s="45" t="n"/>
      <c r="E162" s="110" t="n"/>
      <c r="F162" s="45" t="n"/>
    </row>
    <row r="163" ht="14.5" customHeight="1">
      <c r="A163" s="124" t="n"/>
      <c r="B163" s="44" t="n"/>
      <c r="C163" s="44" t="n"/>
      <c r="D163" s="45" t="n"/>
      <c r="E163" s="110" t="n"/>
      <c r="F163" s="45" t="n"/>
    </row>
    <row r="164" ht="14.5" customHeight="1">
      <c r="A164" s="124" t="n"/>
      <c r="B164" s="44" t="n"/>
      <c r="C164" s="44" t="n"/>
      <c r="D164" s="45" t="n"/>
      <c r="E164" s="110" t="n"/>
      <c r="F164" s="45" t="n"/>
    </row>
    <row r="165" ht="14.5" customHeight="1">
      <c r="A165" s="124" t="n"/>
      <c r="B165" s="44" t="n"/>
      <c r="C165" s="44" t="n"/>
      <c r="D165" s="45" t="n"/>
      <c r="E165" s="110" t="n"/>
      <c r="F165" s="45" t="n"/>
    </row>
    <row r="166" ht="14.5" customHeight="1">
      <c r="A166" s="124" t="n"/>
      <c r="B166" s="44" t="n"/>
      <c r="C166" s="44" t="n"/>
      <c r="D166" s="45" t="n"/>
      <c r="E166" s="110" t="n"/>
      <c r="F166" s="45" t="n"/>
    </row>
    <row r="167" ht="14.5" customHeight="1">
      <c r="A167" s="124" t="n"/>
      <c r="B167" s="44" t="n"/>
      <c r="C167" s="44" t="n"/>
      <c r="D167" s="45" t="n"/>
      <c r="E167" s="110" t="n"/>
      <c r="F167" s="45" t="n"/>
    </row>
    <row r="168" ht="14.5" customHeight="1">
      <c r="A168" s="124" t="n"/>
      <c r="B168" s="44" t="n"/>
      <c r="C168" s="44" t="n"/>
      <c r="D168" s="45" t="n"/>
      <c r="E168" s="110" t="n"/>
      <c r="F168" s="45" t="n"/>
    </row>
    <row r="169" ht="14.5" customHeight="1">
      <c r="A169" s="124" t="n"/>
      <c r="B169" s="44" t="n"/>
      <c r="C169" s="44" t="n"/>
      <c r="D169" s="45" t="n"/>
      <c r="E169" s="110" t="n"/>
      <c r="F169" s="45" t="n"/>
    </row>
    <row r="170" ht="14.5" customHeight="1">
      <c r="A170" s="124" t="n"/>
      <c r="B170" s="44" t="n"/>
      <c r="C170" s="44" t="n"/>
      <c r="D170" s="45" t="n"/>
      <c r="E170" s="110" t="n"/>
      <c r="F170" s="45" t="n"/>
    </row>
    <row r="171" ht="14.5" customHeight="1">
      <c r="A171" s="124" t="n"/>
      <c r="B171" s="44" t="n"/>
      <c r="C171" s="44" t="n"/>
      <c r="D171" s="45" t="n"/>
      <c r="E171" s="110" t="n"/>
      <c r="F171" s="45" t="n"/>
    </row>
    <row r="172" ht="14.5" customHeight="1">
      <c r="A172" s="124" t="n"/>
      <c r="B172" s="44" t="n"/>
      <c r="C172" s="44" t="n"/>
      <c r="D172" s="45" t="n"/>
      <c r="E172" s="110" t="n"/>
      <c r="F172" s="45" t="n"/>
    </row>
    <row r="173" ht="14.5" customHeight="1">
      <c r="A173" s="124" t="n"/>
      <c r="B173" s="44" t="n"/>
      <c r="C173" s="44" t="n"/>
      <c r="D173" s="45" t="n"/>
      <c r="E173" s="110" t="n"/>
      <c r="F173" s="45" t="n"/>
    </row>
    <row r="174" ht="14.5" customHeight="1">
      <c r="A174" s="124" t="n"/>
      <c r="B174" s="44" t="n"/>
      <c r="C174" s="44" t="n"/>
      <c r="D174" s="45" t="n"/>
      <c r="E174" s="110" t="n"/>
      <c r="F174" s="45" t="n"/>
    </row>
    <row r="175" ht="14.5" customHeight="1">
      <c r="A175" s="124" t="n"/>
      <c r="B175" s="44" t="n"/>
      <c r="C175" s="44" t="n"/>
      <c r="D175" s="45" t="n"/>
      <c r="E175" s="110" t="n"/>
      <c r="F175" s="45" t="n"/>
    </row>
    <row r="176" ht="14.5" customHeight="1">
      <c r="A176" s="124" t="n"/>
      <c r="B176" s="44" t="n"/>
      <c r="C176" s="44" t="n"/>
      <c r="D176" s="45" t="n"/>
      <c r="E176" s="110" t="n"/>
      <c r="F176" s="45" t="n"/>
    </row>
    <row r="177" ht="14.5" customHeight="1">
      <c r="A177" s="124" t="n"/>
      <c r="B177" s="44" t="n"/>
      <c r="C177" s="44" t="n"/>
      <c r="D177" s="45" t="n"/>
      <c r="E177" s="110" t="n"/>
      <c r="F177" s="45" t="n"/>
    </row>
    <row r="178" ht="14.5" customHeight="1">
      <c r="A178" s="124" t="n"/>
      <c r="B178" s="44" t="n"/>
      <c r="C178" s="44" t="n"/>
      <c r="D178" s="45" t="n"/>
      <c r="E178" s="110" t="n"/>
      <c r="F178" s="45" t="n"/>
    </row>
    <row r="179" ht="14.5" customHeight="1">
      <c r="A179" s="124" t="n"/>
      <c r="B179" s="44" t="n"/>
      <c r="C179" s="44" t="n"/>
      <c r="D179" s="45" t="n"/>
      <c r="E179" s="110" t="n"/>
      <c r="F179" s="45" t="n"/>
    </row>
    <row r="180" ht="14.5" customHeight="1">
      <c r="A180" s="124" t="n"/>
      <c r="B180" s="44" t="n"/>
      <c r="C180" s="44" t="n"/>
      <c r="D180" s="45" t="n"/>
      <c r="E180" s="110" t="n"/>
      <c r="F180" s="45" t="n"/>
    </row>
    <row r="181" ht="14.5" customHeight="1">
      <c r="A181" s="124" t="n"/>
      <c r="B181" s="44" t="n"/>
      <c r="C181" s="44" t="n"/>
      <c r="D181" s="45" t="n"/>
      <c r="E181" s="110" t="n"/>
      <c r="F181" s="45" t="n"/>
    </row>
    <row r="182" ht="14.5" customHeight="1">
      <c r="A182" s="124" t="n"/>
      <c r="B182" s="44" t="n"/>
      <c r="C182" s="44" t="n"/>
      <c r="D182" s="45" t="n"/>
      <c r="E182" s="110" t="n"/>
      <c r="F182" s="45" t="n"/>
    </row>
    <row r="183" ht="14.5" customHeight="1">
      <c r="A183" s="124" t="n"/>
      <c r="B183" s="44" t="n"/>
      <c r="C183" s="44" t="n"/>
      <c r="D183" s="45" t="n"/>
      <c r="E183" s="110" t="n"/>
      <c r="F183" s="45" t="n"/>
    </row>
    <row r="184" ht="14.5" customHeight="1">
      <c r="A184" s="124" t="n"/>
      <c r="B184" s="44" t="n"/>
      <c r="C184" s="44" t="n"/>
      <c r="D184" s="45" t="n"/>
      <c r="E184" s="110" t="n"/>
      <c r="F184" s="45" t="n"/>
    </row>
    <row r="185" ht="14.5" customHeight="1">
      <c r="A185" s="124" t="n"/>
      <c r="B185" s="44" t="n"/>
      <c r="C185" s="44" t="n"/>
      <c r="D185" s="45" t="n"/>
      <c r="E185" s="110" t="n"/>
      <c r="F185" s="45" t="n"/>
    </row>
    <row r="186" ht="14.5" customHeight="1">
      <c r="A186" s="124" t="n"/>
      <c r="B186" s="44" t="n"/>
      <c r="C186" s="44" t="n"/>
      <c r="D186" s="45" t="n"/>
      <c r="E186" s="110" t="n"/>
      <c r="F186" s="45" t="n"/>
    </row>
    <row r="187" ht="14.5" customHeight="1">
      <c r="A187" s="124" t="n"/>
      <c r="B187" s="44" t="n"/>
      <c r="C187" s="44" t="n"/>
      <c r="D187" s="45" t="n"/>
      <c r="E187" s="110" t="n"/>
      <c r="F187" s="45" t="n"/>
    </row>
    <row r="188" ht="14.5" customHeight="1">
      <c r="A188" s="124" t="n"/>
      <c r="B188" s="44" t="n"/>
      <c r="C188" s="44" t="n"/>
      <c r="D188" s="45" t="n"/>
      <c r="E188" s="110" t="n"/>
      <c r="F188" s="45" t="n"/>
    </row>
    <row r="189" ht="14.5" customHeight="1">
      <c r="A189" s="124" t="n"/>
      <c r="B189" s="44" t="n"/>
      <c r="C189" s="44" t="n"/>
      <c r="D189" s="45" t="n"/>
      <c r="E189" s="110" t="n"/>
      <c r="F189" s="45" t="n"/>
    </row>
    <row r="190" ht="14.5" customHeight="1">
      <c r="A190" s="124" t="n"/>
      <c r="B190" s="44" t="n"/>
      <c r="C190" s="44" t="n"/>
      <c r="D190" s="45" t="n"/>
      <c r="E190" s="110" t="n"/>
      <c r="F190" s="45" t="n"/>
    </row>
    <row r="191" ht="14.5" customHeight="1">
      <c r="A191" s="124" t="n"/>
      <c r="B191" s="44" t="n"/>
      <c r="C191" s="44" t="n"/>
      <c r="D191" s="45" t="n"/>
      <c r="E191" s="110" t="n"/>
      <c r="F191" s="45" t="n"/>
    </row>
    <row r="192" ht="14.5" customHeight="1">
      <c r="A192" s="124" t="n"/>
      <c r="B192" s="44" t="n"/>
      <c r="C192" s="44" t="n"/>
      <c r="D192" s="45" t="n"/>
      <c r="E192" s="110" t="n"/>
      <c r="F192" s="45" t="n"/>
    </row>
    <row r="193" ht="14.5" customHeight="1">
      <c r="A193" s="124" t="n"/>
      <c r="B193" s="44" t="n"/>
      <c r="C193" s="44" t="n"/>
      <c r="D193" s="45" t="n"/>
      <c r="E193" s="110" t="n"/>
      <c r="F193" s="45" t="n"/>
    </row>
    <row r="194" ht="14.5" customHeight="1">
      <c r="A194" s="124" t="n"/>
      <c r="B194" s="44" t="n"/>
      <c r="C194" s="44" t="n"/>
      <c r="D194" s="45" t="n"/>
      <c r="E194" s="110" t="n"/>
      <c r="F194" s="45" t="n"/>
    </row>
    <row r="195" ht="14.5" customHeight="1">
      <c r="A195" s="124" t="n"/>
      <c r="B195" s="44" t="n"/>
      <c r="C195" s="44" t="n"/>
      <c r="D195" s="45" t="n"/>
      <c r="E195" s="110" t="n"/>
      <c r="F195" s="45" t="n"/>
    </row>
    <row r="196" ht="14.5" customHeight="1">
      <c r="A196" s="124" t="n"/>
      <c r="B196" s="44" t="n"/>
      <c r="C196" s="44" t="n"/>
      <c r="D196" s="45" t="n"/>
      <c r="E196" s="110" t="n"/>
      <c r="F196" s="45" t="n"/>
    </row>
    <row r="197" ht="14.5" customHeight="1">
      <c r="A197" s="124" t="n"/>
      <c r="B197" s="44" t="n"/>
      <c r="C197" s="44" t="n"/>
      <c r="D197" s="45" t="n"/>
      <c r="E197" s="110" t="n"/>
      <c r="F197" s="45" t="n"/>
    </row>
    <row r="198" ht="14.5" customHeight="1">
      <c r="A198" s="124" t="n"/>
      <c r="B198" s="44" t="n"/>
      <c r="C198" s="44" t="n"/>
      <c r="D198" s="45" t="n"/>
      <c r="E198" s="110" t="n"/>
      <c r="F198" s="45" t="n"/>
    </row>
    <row r="199" ht="14.5" customHeight="1">
      <c r="A199" s="124" t="n"/>
      <c r="B199" s="44" t="n"/>
      <c r="C199" s="44" t="n"/>
      <c r="D199" s="45" t="n"/>
      <c r="E199" s="110" t="n"/>
      <c r="F199" s="45" t="n"/>
    </row>
    <row r="200" ht="14.5" customHeight="1">
      <c r="A200" s="124" t="n"/>
      <c r="B200" s="44" t="n"/>
      <c r="C200" s="44" t="n"/>
      <c r="D200" s="45" t="n"/>
      <c r="E200" s="110" t="n"/>
      <c r="F200" s="45" t="n"/>
    </row>
    <row r="201" ht="14.5" customHeight="1">
      <c r="A201" s="124" t="n"/>
      <c r="B201" s="44" t="n"/>
      <c r="C201" s="44" t="n"/>
      <c r="D201" s="45" t="n"/>
      <c r="E201" s="110" t="n"/>
      <c r="F201" s="45" t="n"/>
    </row>
    <row r="202" ht="14.5" customHeight="1">
      <c r="A202" s="124" t="n"/>
      <c r="B202" s="44" t="n"/>
      <c r="C202" s="44" t="n"/>
      <c r="D202" s="45" t="n"/>
      <c r="E202" s="110" t="n"/>
      <c r="F202" s="45" t="n"/>
    </row>
    <row r="203" ht="14.5" customHeight="1">
      <c r="A203" s="124" t="n"/>
      <c r="B203" s="44" t="n"/>
      <c r="C203" s="44" t="n"/>
      <c r="D203" s="45" t="n"/>
      <c r="E203" s="110" t="n"/>
      <c r="F203" s="45" t="n"/>
    </row>
    <row r="204" ht="14.5" customHeight="1">
      <c r="A204" s="124" t="n"/>
      <c r="B204" s="44" t="n"/>
      <c r="C204" s="44" t="n"/>
      <c r="D204" s="45" t="n"/>
      <c r="E204" s="110" t="n"/>
      <c r="F204" s="45" t="n"/>
    </row>
    <row r="205" ht="14.5" customHeight="1">
      <c r="A205" s="124" t="n"/>
      <c r="B205" s="44" t="n"/>
      <c r="C205" s="44" t="n"/>
      <c r="D205" s="45" t="n"/>
      <c r="E205" s="110" t="n"/>
      <c r="F205" s="45" t="n"/>
    </row>
    <row r="206" ht="14.5" customHeight="1">
      <c r="A206" s="124" t="n"/>
      <c r="B206" s="44" t="n"/>
      <c r="C206" s="44" t="n"/>
      <c r="D206" s="45" t="n"/>
      <c r="E206" s="110" t="n"/>
      <c r="F206" s="45" t="n"/>
    </row>
    <row r="207" ht="14.5" customHeight="1">
      <c r="A207" s="124" t="n"/>
      <c r="B207" s="44" t="n"/>
      <c r="C207" s="44" t="n"/>
      <c r="D207" s="45" t="n"/>
      <c r="E207" s="110" t="n"/>
      <c r="F207" s="45" t="n"/>
    </row>
    <row r="208" ht="14.5" customHeight="1">
      <c r="A208" s="124" t="n"/>
      <c r="B208" s="44" t="n"/>
      <c r="C208" s="44" t="n"/>
      <c r="D208" s="45" t="n"/>
      <c r="E208" s="110" t="n"/>
      <c r="F208" s="45" t="n"/>
    </row>
    <row r="209" ht="14.5" customHeight="1">
      <c r="A209" s="124" t="n"/>
      <c r="B209" s="44" t="n"/>
      <c r="C209" s="44" t="n"/>
      <c r="D209" s="45" t="n"/>
      <c r="E209" s="110" t="n"/>
      <c r="F209" s="45" t="n"/>
    </row>
    <row r="210" ht="14.5" customHeight="1">
      <c r="A210" s="124" t="n"/>
      <c r="B210" s="44" t="n"/>
      <c r="C210" s="44" t="n"/>
      <c r="D210" s="45" t="n"/>
      <c r="E210" s="110" t="n"/>
      <c r="F210" s="45" t="n"/>
    </row>
    <row r="211" ht="14.5" customHeight="1">
      <c r="A211" s="124" t="n"/>
      <c r="B211" s="44" t="n"/>
      <c r="C211" s="44" t="n"/>
      <c r="D211" s="45" t="n"/>
      <c r="E211" s="110" t="n"/>
      <c r="F211" s="45" t="n"/>
    </row>
    <row r="212" ht="14.5" customHeight="1">
      <c r="A212" s="124" t="n"/>
      <c r="B212" s="44" t="n"/>
      <c r="C212" s="44" t="n"/>
      <c r="D212" s="45" t="n"/>
      <c r="E212" s="110" t="n"/>
      <c r="F212" s="45" t="n"/>
    </row>
    <row r="213" ht="14.5" customHeight="1">
      <c r="A213" s="124" t="n"/>
      <c r="B213" s="44" t="n"/>
      <c r="C213" s="44" t="n"/>
      <c r="D213" s="45" t="n"/>
      <c r="E213" s="110" t="n"/>
      <c r="F213" s="45" t="n"/>
    </row>
    <row r="214" ht="14.5" customHeight="1">
      <c r="A214" s="124" t="n"/>
      <c r="B214" s="44" t="n"/>
      <c r="C214" s="44" t="n"/>
      <c r="D214" s="45" t="n"/>
      <c r="E214" s="110" t="n"/>
      <c r="F214" s="45" t="n"/>
    </row>
    <row r="215" ht="14.5" customHeight="1">
      <c r="A215" s="124" t="n"/>
      <c r="B215" s="44" t="n"/>
      <c r="C215" s="44" t="n"/>
      <c r="D215" s="45" t="n"/>
      <c r="E215" s="110" t="n"/>
      <c r="F215" s="45" t="n"/>
    </row>
    <row r="216" ht="14.5" customHeight="1">
      <c r="A216" s="124" t="n"/>
      <c r="B216" s="44" t="n"/>
      <c r="C216" s="44" t="n"/>
      <c r="D216" s="45" t="n"/>
      <c r="E216" s="110" t="n"/>
      <c r="F216" s="45" t="n"/>
    </row>
    <row r="217" ht="14.5" customHeight="1">
      <c r="A217" s="124" t="n"/>
      <c r="B217" s="44" t="n"/>
      <c r="C217" s="44" t="n"/>
      <c r="D217" s="45" t="n"/>
      <c r="E217" s="110" t="n"/>
      <c r="F217" s="45" t="n"/>
    </row>
    <row r="218" ht="14.5" customHeight="1">
      <c r="A218" s="124" t="n"/>
      <c r="B218" s="44" t="n"/>
      <c r="C218" s="44" t="n"/>
      <c r="D218" s="45" t="n"/>
      <c r="E218" s="110" t="n"/>
      <c r="F218" s="45" t="n"/>
    </row>
    <row r="219" ht="14.5" customHeight="1">
      <c r="A219" s="124" t="n"/>
      <c r="B219" s="44" t="n"/>
      <c r="C219" s="44" t="n"/>
      <c r="D219" s="45" t="n"/>
      <c r="E219" s="110" t="n"/>
      <c r="F219" s="45" t="n"/>
    </row>
    <row r="220" ht="14.5" customHeight="1">
      <c r="A220" s="124" t="n"/>
      <c r="B220" s="44" t="n"/>
      <c r="C220" s="44" t="n"/>
      <c r="D220" s="45" t="n"/>
      <c r="E220" s="110" t="n"/>
      <c r="F220" s="45" t="n"/>
    </row>
    <row r="221" ht="14.5" customHeight="1">
      <c r="A221" s="124" t="n"/>
      <c r="B221" s="44" t="n"/>
      <c r="C221" s="44" t="n"/>
      <c r="D221" s="45" t="n"/>
      <c r="E221" s="110" t="n"/>
      <c r="F221" s="45" t="n"/>
    </row>
    <row r="222" ht="14.5" customHeight="1">
      <c r="A222" s="124" t="n"/>
      <c r="B222" s="44" t="n"/>
      <c r="C222" s="44" t="n"/>
      <c r="D222" s="45" t="n"/>
      <c r="E222" s="110" t="n"/>
      <c r="F222" s="45" t="n"/>
    </row>
    <row r="223" ht="14.5" customHeight="1">
      <c r="A223" s="124" t="n"/>
      <c r="B223" s="44" t="n"/>
      <c r="C223" s="44" t="n"/>
      <c r="D223" s="45" t="n"/>
      <c r="E223" s="110" t="n"/>
      <c r="F223" s="45" t="n"/>
    </row>
    <row r="224" ht="14.5" customHeight="1">
      <c r="A224" s="124" t="n"/>
      <c r="B224" s="44" t="n"/>
      <c r="C224" s="44" t="n"/>
      <c r="D224" s="45" t="n"/>
      <c r="E224" s="110" t="n"/>
      <c r="F224" s="45" t="n"/>
    </row>
    <row r="225" ht="14.5" customHeight="1">
      <c r="A225" s="124" t="n"/>
      <c r="B225" s="44" t="n"/>
      <c r="C225" s="44" t="n"/>
      <c r="D225" s="45" t="n"/>
      <c r="E225" s="110" t="n"/>
      <c r="F225" s="45" t="n"/>
    </row>
    <row r="226" ht="14.5" customHeight="1">
      <c r="A226" s="124" t="n"/>
      <c r="B226" s="44" t="n"/>
      <c r="C226" s="44" t="n"/>
      <c r="D226" s="45" t="n"/>
      <c r="E226" s="110" t="n"/>
      <c r="F226" s="45" t="n"/>
    </row>
    <row r="227" ht="14.5" customHeight="1">
      <c r="A227" s="124" t="n"/>
      <c r="B227" s="44" t="n"/>
      <c r="C227" s="44" t="n"/>
      <c r="D227" s="45" t="n"/>
      <c r="E227" s="110" t="n"/>
      <c r="F227" s="45" t="n"/>
    </row>
    <row r="228" ht="14.5" customHeight="1">
      <c r="A228" s="124" t="n"/>
      <c r="B228" s="44" t="n"/>
      <c r="C228" s="44" t="n"/>
      <c r="D228" s="45" t="n"/>
      <c r="E228" s="110" t="n"/>
      <c r="F228" s="45" t="n"/>
    </row>
    <row r="229" ht="14.5" customHeight="1">
      <c r="A229" s="124" t="n"/>
      <c r="B229" s="44" t="n"/>
      <c r="C229" s="44" t="n"/>
      <c r="D229" s="45" t="n"/>
      <c r="E229" s="110" t="n"/>
      <c r="F229" s="45" t="n"/>
    </row>
    <row r="230" ht="14.5" customHeight="1">
      <c r="A230" s="124" t="n"/>
      <c r="B230" s="44" t="n"/>
      <c r="C230" s="44" t="n"/>
      <c r="D230" s="45" t="n"/>
      <c r="E230" s="110" t="n"/>
      <c r="F230" s="45" t="n"/>
    </row>
    <row r="231" ht="14.5" customHeight="1">
      <c r="A231" s="124" t="n"/>
      <c r="B231" s="44" t="n"/>
      <c r="C231" s="44" t="n"/>
      <c r="D231" s="45" t="n"/>
      <c r="E231" s="110" t="n"/>
      <c r="F231" s="45" t="n"/>
    </row>
    <row r="232" ht="14.5" customHeight="1">
      <c r="A232" s="124" t="n"/>
      <c r="B232" s="44" t="n"/>
      <c r="C232" s="44" t="n"/>
      <c r="D232" s="45" t="n"/>
      <c r="E232" s="110" t="n"/>
      <c r="F232" s="45" t="n"/>
    </row>
    <row r="233" ht="14.5" customHeight="1">
      <c r="A233" s="124" t="n"/>
      <c r="B233" s="44" t="n"/>
      <c r="C233" s="44" t="n"/>
      <c r="D233" s="45" t="n"/>
      <c r="E233" s="110" t="n"/>
      <c r="F233" s="45" t="n"/>
    </row>
    <row r="234" ht="14.5" customHeight="1">
      <c r="A234" s="124" t="n"/>
      <c r="B234" s="44" t="n"/>
      <c r="C234" s="44" t="n"/>
      <c r="D234" s="45" t="n"/>
      <c r="E234" s="110" t="n"/>
      <c r="F234" s="45" t="n"/>
    </row>
    <row r="235" ht="14.5" customHeight="1">
      <c r="A235" s="124" t="n"/>
      <c r="B235" s="44" t="n"/>
      <c r="C235" s="44" t="n"/>
      <c r="D235" s="45" t="n"/>
      <c r="E235" s="110" t="n"/>
      <c r="F235" s="45" t="n"/>
    </row>
    <row r="236" ht="14.5" customHeight="1">
      <c r="A236" s="124" t="n"/>
      <c r="B236" s="44" t="n"/>
      <c r="C236" s="44" t="n"/>
      <c r="D236" s="45" t="n"/>
      <c r="E236" s="110" t="n"/>
      <c r="F236" s="45" t="n"/>
    </row>
    <row r="237" ht="14.5" customHeight="1">
      <c r="A237" s="124" t="n"/>
      <c r="B237" s="44" t="n"/>
      <c r="C237" s="44" t="n"/>
      <c r="D237" s="45" t="n"/>
      <c r="E237" s="110" t="n"/>
      <c r="F237" s="45" t="n"/>
    </row>
    <row r="238" ht="14.5" customHeight="1">
      <c r="A238" s="124" t="n"/>
      <c r="B238" s="44" t="n"/>
      <c r="C238" s="44" t="n"/>
      <c r="D238" s="45" t="n"/>
      <c r="E238" s="110" t="n"/>
      <c r="F238" s="45" t="n"/>
    </row>
    <row r="239" ht="14.5" customHeight="1">
      <c r="A239" s="124" t="n"/>
      <c r="B239" s="44" t="n"/>
      <c r="C239" s="44" t="n"/>
      <c r="D239" s="45" t="n"/>
      <c r="E239" s="110" t="n"/>
      <c r="F239" s="45" t="n"/>
    </row>
    <row r="240" ht="14.5" customHeight="1">
      <c r="A240" s="124" t="n"/>
      <c r="B240" s="44" t="n"/>
      <c r="C240" s="44" t="n"/>
      <c r="D240" s="45" t="n"/>
      <c r="E240" s="110" t="n"/>
      <c r="F240" s="45" t="n"/>
    </row>
    <row r="241" ht="14.5" customHeight="1">
      <c r="A241" s="124" t="n"/>
      <c r="B241" s="44" t="n"/>
      <c r="C241" s="44" t="n"/>
      <c r="D241" s="45" t="n"/>
      <c r="E241" s="110" t="n"/>
      <c r="F241" s="45" t="n"/>
    </row>
    <row r="242" ht="14.5" customHeight="1">
      <c r="A242" s="124" t="n"/>
      <c r="B242" s="44" t="n"/>
      <c r="C242" s="44" t="n"/>
      <c r="D242" s="45" t="n"/>
      <c r="E242" s="110" t="n"/>
      <c r="F242" s="45" t="n"/>
    </row>
    <row r="243" ht="14.5" customHeight="1">
      <c r="A243" s="124" t="n"/>
      <c r="B243" s="44" t="n"/>
      <c r="C243" s="44" t="n"/>
      <c r="D243" s="45" t="n"/>
      <c r="E243" s="110" t="n"/>
      <c r="F243" s="45" t="n"/>
    </row>
    <row r="244" ht="14.5" customHeight="1">
      <c r="A244" s="124" t="n"/>
      <c r="B244" s="44" t="n"/>
      <c r="C244" s="44" t="n"/>
      <c r="D244" s="45" t="n"/>
      <c r="E244" s="110" t="n"/>
      <c r="F244" s="45" t="n"/>
    </row>
    <row r="245" ht="14.5" customHeight="1">
      <c r="A245" s="124" t="n"/>
      <c r="B245" s="44" t="n"/>
      <c r="C245" s="44" t="n"/>
      <c r="D245" s="45" t="n"/>
      <c r="E245" s="110" t="n"/>
      <c r="F245" s="45" t="n"/>
    </row>
    <row r="246" ht="14.5" customHeight="1">
      <c r="A246" s="124" t="n"/>
      <c r="B246" s="44" t="n"/>
      <c r="C246" s="44" t="n"/>
      <c r="D246" s="45" t="n"/>
      <c r="E246" s="110" t="n"/>
      <c r="F246" s="45" t="n"/>
    </row>
    <row r="247" ht="14.5" customHeight="1">
      <c r="A247" s="124" t="n"/>
      <c r="B247" s="44" t="n"/>
      <c r="C247" s="44" t="n"/>
      <c r="D247" s="45" t="n"/>
      <c r="E247" s="110" t="n"/>
      <c r="F247" s="45" t="n"/>
    </row>
    <row r="248" ht="14.5" customHeight="1">
      <c r="A248" s="124" t="n"/>
      <c r="B248" s="44" t="n"/>
      <c r="C248" s="44" t="n"/>
      <c r="D248" s="45" t="n"/>
      <c r="E248" s="110" t="n"/>
      <c r="F248" s="45" t="n"/>
    </row>
    <row r="249" ht="14.5" customHeight="1">
      <c r="A249" s="124" t="n"/>
      <c r="B249" s="44" t="n"/>
      <c r="C249" s="44" t="n"/>
      <c r="D249" s="45" t="n"/>
      <c r="E249" s="110" t="n"/>
      <c r="F249" s="45" t="n"/>
    </row>
    <row r="250" ht="14.5" customHeight="1">
      <c r="A250" s="124" t="n"/>
      <c r="B250" s="44" t="n"/>
      <c r="C250" s="44" t="n"/>
      <c r="D250" s="45" t="n"/>
      <c r="E250" s="110" t="n"/>
      <c r="F250" s="45" t="n"/>
    </row>
    <row r="251" ht="14.5" customHeight="1">
      <c r="A251" s="124" t="n"/>
      <c r="B251" s="44" t="n"/>
      <c r="C251" s="44" t="n"/>
      <c r="D251" s="45" t="n"/>
      <c r="E251" s="110" t="n"/>
      <c r="F251" s="45" t="n"/>
    </row>
    <row r="252" ht="14.5" customHeight="1">
      <c r="A252" s="124" t="n"/>
      <c r="B252" s="44" t="n"/>
      <c r="C252" s="44" t="n"/>
      <c r="D252" s="45" t="n"/>
      <c r="E252" s="110" t="n"/>
      <c r="F252" s="45" t="n"/>
    </row>
    <row r="253" ht="14.5" customHeight="1">
      <c r="A253" s="124" t="n"/>
      <c r="B253" s="44" t="n"/>
      <c r="C253" s="44" t="n"/>
      <c r="D253" s="45" t="n"/>
      <c r="E253" s="110" t="n"/>
      <c r="F253" s="45" t="n"/>
    </row>
    <row r="254" ht="14.5" customHeight="1">
      <c r="A254" s="124" t="n"/>
      <c r="B254" s="44" t="n"/>
      <c r="C254" s="44" t="n"/>
      <c r="D254" s="45" t="n"/>
      <c r="E254" s="110" t="n"/>
      <c r="F254" s="45" t="n"/>
    </row>
    <row r="255" ht="14.5" customHeight="1">
      <c r="A255" s="124" t="n"/>
      <c r="B255" s="44" t="n"/>
      <c r="C255" s="44" t="n"/>
      <c r="D255" s="45" t="n"/>
      <c r="E255" s="110" t="n"/>
      <c r="F255" s="45" t="n"/>
    </row>
    <row r="256" ht="14.5" customHeight="1">
      <c r="A256" s="124" t="n"/>
      <c r="B256" s="44" t="n"/>
      <c r="C256" s="44" t="n"/>
      <c r="D256" s="45" t="n"/>
      <c r="E256" s="110" t="n"/>
      <c r="F256" s="45" t="n"/>
    </row>
    <row r="257" ht="14.5" customHeight="1">
      <c r="A257" s="124" t="n"/>
      <c r="B257" s="44" t="n"/>
      <c r="C257" s="44" t="n"/>
      <c r="D257" s="45" t="n"/>
      <c r="E257" s="110" t="n"/>
      <c r="F257" s="45" t="n"/>
    </row>
    <row r="258" ht="14.5" customHeight="1">
      <c r="A258" s="124" t="n"/>
      <c r="B258" s="44" t="n"/>
      <c r="C258" s="44" t="n"/>
      <c r="D258" s="45" t="n"/>
      <c r="E258" s="110" t="n"/>
      <c r="F258" s="45" t="n"/>
    </row>
    <row r="259" ht="14.5" customHeight="1">
      <c r="A259" s="124" t="n"/>
      <c r="B259" s="44" t="n"/>
      <c r="C259" s="44" t="n"/>
      <c r="D259" s="45" t="n"/>
      <c r="E259" s="110" t="n"/>
      <c r="F259" s="45" t="n"/>
    </row>
    <row r="260" ht="14.5" customHeight="1">
      <c r="A260" s="124" t="n"/>
      <c r="B260" s="44" t="n"/>
      <c r="C260" s="44" t="n"/>
      <c r="D260" s="45" t="n"/>
      <c r="E260" s="110" t="n"/>
      <c r="F260" s="45" t="n"/>
    </row>
    <row r="261" ht="14.5" customHeight="1">
      <c r="A261" s="124" t="n"/>
      <c r="B261" s="44" t="n"/>
      <c r="C261" s="44" t="n"/>
      <c r="D261" s="45" t="n"/>
      <c r="E261" s="110" t="n"/>
      <c r="F261" s="45" t="n"/>
    </row>
    <row r="262" ht="14.5" customHeight="1">
      <c r="A262" s="124" t="n"/>
      <c r="B262" s="44" t="n"/>
      <c r="C262" s="44" t="n"/>
      <c r="D262" s="45" t="n"/>
      <c r="E262" s="110" t="n"/>
      <c r="F262" s="45" t="n"/>
    </row>
    <row r="263" ht="14.5" customHeight="1">
      <c r="A263" s="124" t="n"/>
      <c r="B263" s="44" t="n"/>
      <c r="C263" s="44" t="n"/>
      <c r="D263" s="45" t="n"/>
      <c r="E263" s="110" t="n"/>
      <c r="F263" s="45" t="n"/>
    </row>
    <row r="264" ht="14.5" customHeight="1">
      <c r="A264" s="124" t="n"/>
      <c r="B264" s="44" t="n"/>
      <c r="C264" s="44" t="n"/>
      <c r="D264" s="45" t="n"/>
      <c r="E264" s="110" t="n"/>
      <c r="F264" s="45" t="n"/>
    </row>
    <row r="265" ht="14.5" customHeight="1">
      <c r="A265" s="124" t="n"/>
      <c r="B265" s="44" t="n"/>
      <c r="C265" s="44" t="n"/>
      <c r="D265" s="45" t="n"/>
      <c r="E265" s="110" t="n"/>
      <c r="F265" s="45" t="n"/>
    </row>
    <row r="266" ht="14.5" customHeight="1">
      <c r="A266" s="124" t="n"/>
      <c r="B266" s="44" t="n"/>
      <c r="C266" s="44" t="n"/>
      <c r="D266" s="45" t="n"/>
      <c r="E266" s="110" t="n"/>
      <c r="F266" s="45" t="n"/>
    </row>
    <row r="267" ht="14.5" customHeight="1">
      <c r="A267" s="124" t="n"/>
      <c r="B267" s="44" t="n"/>
      <c r="C267" s="44" t="n"/>
      <c r="D267" s="45" t="n"/>
      <c r="E267" s="110" t="n"/>
      <c r="F267" s="45" t="n"/>
    </row>
    <row r="268" ht="14.5" customHeight="1">
      <c r="A268" s="124" t="n"/>
      <c r="B268" s="44" t="n"/>
      <c r="C268" s="44" t="n"/>
      <c r="D268" s="45" t="n"/>
      <c r="E268" s="110" t="n"/>
      <c r="F268" s="45" t="n"/>
    </row>
    <row r="269" ht="14.5" customHeight="1">
      <c r="A269" s="124" t="n"/>
      <c r="B269" s="44" t="n"/>
      <c r="C269" s="44" t="n"/>
      <c r="D269" s="45" t="n"/>
      <c r="E269" s="110" t="n"/>
      <c r="F269" s="45" t="n"/>
    </row>
    <row r="270" ht="14.5" customHeight="1">
      <c r="A270" s="124" t="n"/>
      <c r="B270" s="44" t="n"/>
      <c r="C270" s="44" t="n"/>
      <c r="D270" s="45" t="n"/>
      <c r="E270" s="110" t="n"/>
      <c r="F270" s="45" t="n"/>
    </row>
    <row r="271" ht="14.5" customHeight="1">
      <c r="A271" s="124" t="n"/>
      <c r="B271" s="44" t="n"/>
      <c r="C271" s="44" t="n"/>
      <c r="D271" s="45" t="n"/>
      <c r="E271" s="110" t="n"/>
      <c r="F271" s="45" t="n"/>
    </row>
    <row r="272" ht="14.5" customHeight="1">
      <c r="A272" s="124" t="n"/>
      <c r="B272" s="44" t="n"/>
      <c r="C272" s="44" t="n"/>
      <c r="D272" s="45" t="n"/>
      <c r="E272" s="110" t="n"/>
      <c r="F272" s="45" t="n"/>
    </row>
    <row r="273" ht="14.5" customHeight="1">
      <c r="A273" s="124" t="n"/>
      <c r="B273" s="44" t="n"/>
      <c r="C273" s="44" t="n"/>
      <c r="D273" s="45" t="n"/>
      <c r="E273" s="110" t="n"/>
      <c r="F273" s="45" t="n"/>
    </row>
    <row r="274" ht="14.5" customHeight="1">
      <c r="A274" s="124" t="n"/>
      <c r="B274" s="44" t="n"/>
      <c r="C274" s="44" t="n"/>
      <c r="D274" s="45" t="n"/>
      <c r="E274" s="110" t="n"/>
      <c r="F274" s="45" t="n"/>
    </row>
    <row r="275" ht="14.5" customHeight="1">
      <c r="A275" s="124" t="n"/>
      <c r="B275" s="44" t="n"/>
      <c r="C275" s="44" t="n"/>
      <c r="D275" s="45" t="n"/>
      <c r="E275" s="110" t="n"/>
      <c r="F275" s="45" t="n"/>
    </row>
    <row r="276" ht="14.5" customHeight="1">
      <c r="A276" s="124" t="n"/>
      <c r="B276" s="44" t="n"/>
      <c r="C276" s="44" t="n"/>
      <c r="D276" s="45" t="n"/>
      <c r="E276" s="110" t="n"/>
      <c r="F276" s="45" t="n"/>
    </row>
    <row r="277" ht="14.5" customHeight="1">
      <c r="A277" s="124" t="n"/>
      <c r="B277" s="44" t="n"/>
      <c r="C277" s="44" t="n"/>
      <c r="D277" s="45" t="n"/>
      <c r="E277" s="110" t="n"/>
      <c r="F277" s="45" t="n"/>
    </row>
    <row r="278" ht="14.5" customHeight="1">
      <c r="A278" s="124" t="n"/>
      <c r="B278" s="44" t="n"/>
      <c r="C278" s="44" t="n"/>
      <c r="D278" s="45" t="n"/>
      <c r="E278" s="110" t="n"/>
      <c r="F278" s="45" t="n"/>
    </row>
    <row r="279" ht="14.5" customHeight="1">
      <c r="A279" s="124" t="n"/>
      <c r="B279" s="44" t="n"/>
      <c r="C279" s="44" t="n"/>
      <c r="D279" s="45" t="n"/>
      <c r="E279" s="110" t="n"/>
      <c r="F279" s="45" t="n"/>
    </row>
    <row r="280" ht="14.5" customHeight="1">
      <c r="A280" s="124" t="n"/>
      <c r="B280" s="44" t="n"/>
      <c r="C280" s="44" t="n"/>
      <c r="D280" s="45" t="n"/>
      <c r="E280" s="110" t="n"/>
      <c r="F280" s="45" t="n"/>
    </row>
    <row r="281" ht="14.5" customHeight="1">
      <c r="A281" s="124" t="n"/>
      <c r="B281" s="44" t="n"/>
      <c r="C281" s="44" t="n"/>
      <c r="D281" s="45" t="n"/>
      <c r="E281" s="110" t="n"/>
      <c r="F281" s="45" t="n"/>
    </row>
    <row r="282" ht="14.5" customHeight="1">
      <c r="A282" s="124" t="n"/>
      <c r="B282" s="44" t="n"/>
      <c r="C282" s="44" t="n"/>
      <c r="D282" s="45" t="n"/>
      <c r="E282" s="110" t="n"/>
      <c r="F282" s="45" t="n"/>
    </row>
    <row r="283" ht="14.5" customHeight="1">
      <c r="A283" s="124" t="n"/>
      <c r="B283" s="44" t="n"/>
      <c r="C283" s="44" t="n"/>
      <c r="D283" s="45" t="n"/>
      <c r="E283" s="110" t="n"/>
      <c r="F283" s="45" t="n"/>
    </row>
    <row r="284" ht="14.5" customHeight="1">
      <c r="A284" s="124" t="n"/>
      <c r="B284" s="44" t="n"/>
      <c r="C284" s="44" t="n"/>
      <c r="D284" s="45" t="n"/>
      <c r="E284" s="110" t="n"/>
      <c r="F284" s="45" t="n"/>
    </row>
    <row r="285" ht="14.5" customHeight="1">
      <c r="A285" s="124" t="n"/>
      <c r="B285" s="44" t="n"/>
      <c r="C285" s="44" t="n"/>
      <c r="D285" s="45" t="n"/>
      <c r="E285" s="110" t="n"/>
      <c r="F285" s="45" t="n"/>
    </row>
    <row r="286" ht="14.5" customHeight="1">
      <c r="A286" s="124" t="n"/>
      <c r="B286" s="44" t="n"/>
      <c r="C286" s="44" t="n"/>
      <c r="D286" s="45" t="n"/>
      <c r="E286" s="110" t="n"/>
      <c r="F286" s="45" t="n"/>
    </row>
    <row r="287" ht="14.5" customHeight="1">
      <c r="A287" s="124" t="n"/>
      <c r="B287" s="44" t="n"/>
      <c r="C287" s="44" t="n"/>
      <c r="D287" s="45" t="n"/>
      <c r="E287" s="110" t="n"/>
      <c r="F287" s="45" t="n"/>
    </row>
    <row r="288" ht="14.5" customHeight="1">
      <c r="A288" s="124" t="n"/>
      <c r="B288" s="44" t="n"/>
      <c r="C288" s="44" t="n"/>
      <c r="D288" s="45" t="n"/>
      <c r="E288" s="110" t="n"/>
      <c r="F288" s="45" t="n"/>
    </row>
    <row r="289" ht="14.5" customHeight="1">
      <c r="A289" s="124" t="n"/>
      <c r="B289" s="44" t="n"/>
      <c r="C289" s="44" t="n"/>
      <c r="D289" s="45" t="n"/>
      <c r="E289" s="110" t="n"/>
      <c r="F289" s="45" t="n"/>
    </row>
    <row r="290" ht="14.5" customHeight="1">
      <c r="A290" s="124" t="n"/>
      <c r="B290" s="44" t="n"/>
      <c r="C290" s="44" t="n"/>
      <c r="D290" s="45" t="n"/>
      <c r="E290" s="110" t="n"/>
      <c r="F290" s="45" t="n"/>
    </row>
    <row r="291" ht="14.5" customHeight="1">
      <c r="A291" s="124" t="n"/>
      <c r="B291" s="44" t="n"/>
      <c r="C291" s="44" t="n"/>
      <c r="D291" s="45" t="n"/>
      <c r="E291" s="110" t="n"/>
      <c r="F291" s="45" t="n"/>
    </row>
    <row r="292" ht="14.5" customHeight="1">
      <c r="A292" s="124" t="n"/>
      <c r="B292" s="44" t="n"/>
      <c r="C292" s="44" t="n"/>
      <c r="D292" s="45" t="n"/>
      <c r="E292" s="110" t="n"/>
      <c r="F292" s="45" t="n"/>
    </row>
    <row r="293" ht="14.5" customHeight="1">
      <c r="A293" s="124" t="n"/>
      <c r="B293" s="44" t="n"/>
      <c r="C293" s="44" t="n"/>
      <c r="D293" s="45" t="n"/>
      <c r="E293" s="110" t="n"/>
      <c r="F293" s="45" t="n"/>
    </row>
    <row r="294" ht="14.5" customHeight="1">
      <c r="A294" s="124" t="n"/>
      <c r="B294" s="44" t="n"/>
      <c r="C294" s="44" t="n"/>
      <c r="D294" s="45" t="n"/>
      <c r="E294" s="110" t="n"/>
      <c r="F294" s="45" t="n"/>
    </row>
    <row r="295" ht="14.5" customHeight="1">
      <c r="A295" s="124" t="n"/>
      <c r="B295" s="44" t="n"/>
      <c r="C295" s="44" t="n"/>
      <c r="D295" s="45" t="n"/>
      <c r="E295" s="110" t="n"/>
      <c r="F295" s="45" t="n"/>
    </row>
    <row r="296" ht="14.5" customHeight="1">
      <c r="A296" s="124" t="n"/>
      <c r="B296" s="44" t="n"/>
      <c r="C296" s="44" t="n"/>
      <c r="D296" s="45" t="n"/>
      <c r="E296" s="110" t="n"/>
      <c r="F296" s="45" t="n"/>
    </row>
    <row r="297" ht="14.5" customHeight="1">
      <c r="A297" s="124" t="n"/>
      <c r="B297" s="44" t="n"/>
      <c r="C297" s="44" t="n"/>
      <c r="D297" s="45" t="n"/>
      <c r="E297" s="110" t="n"/>
      <c r="F297" s="45" t="n"/>
    </row>
    <row r="298" ht="14.5" customHeight="1">
      <c r="A298" s="124" t="n"/>
      <c r="B298" s="44" t="n"/>
      <c r="C298" s="44" t="n"/>
      <c r="D298" s="45" t="n"/>
      <c r="E298" s="110" t="n"/>
      <c r="F298" s="45" t="n"/>
    </row>
    <row r="299" ht="14.5" customHeight="1">
      <c r="A299" s="124" t="n"/>
      <c r="B299" s="44" t="n"/>
      <c r="C299" s="44" t="n"/>
      <c r="D299" s="45" t="n"/>
      <c r="E299" s="110" t="n"/>
      <c r="F299" s="45" t="n"/>
    </row>
    <row r="300" ht="14.5" customHeight="1">
      <c r="A300" s="124" t="n"/>
      <c r="B300" s="44" t="n"/>
      <c r="C300" s="44" t="n"/>
      <c r="D300" s="45" t="n"/>
      <c r="E300" s="110" t="n"/>
      <c r="F300" s="45" t="n"/>
    </row>
    <row r="301" ht="14.5" customHeight="1">
      <c r="A301" s="124" t="n"/>
      <c r="B301" s="44" t="n"/>
      <c r="C301" s="44" t="n"/>
      <c r="D301" s="45" t="n"/>
      <c r="E301" s="110" t="n"/>
      <c r="F301" s="45" t="n"/>
    </row>
    <row r="302" ht="14.5" customHeight="1">
      <c r="A302" s="124" t="n"/>
      <c r="B302" s="44" t="n"/>
      <c r="C302" s="44" t="n"/>
      <c r="D302" s="45" t="n"/>
      <c r="E302" s="110" t="n"/>
      <c r="F302" s="45" t="n"/>
    </row>
    <row r="303" ht="14.5" customHeight="1">
      <c r="A303" s="124" t="n"/>
      <c r="B303" s="44" t="n"/>
      <c r="C303" s="44" t="n"/>
      <c r="D303" s="45" t="n"/>
      <c r="E303" s="110" t="n"/>
      <c r="F303" s="45" t="n"/>
    </row>
  </sheetData>
  <mergeCells count="2">
    <mergeCell ref="A2:F2"/>
    <mergeCell ref="A1:F1"/>
  </mergeCells>
  <dataValidations count="2">
    <dataValidation sqref="B4:B303" showDropDown="0" showInputMessage="0" showErrorMessage="0" allowBlank="1" type="list">
      <formula1>"收入,支出"</formula1>
    </dataValidation>
    <dataValidation sqref="C4:C303" showDropDown="0" showInputMessage="0" showErrorMessage="0" allowBlank="1" type="list">
      <formula1>"工资收入,投资收益,其他收入,生活支出,房贷/租金,教育支出,保险支出,其他支出"</formula1>
    </dataValidation>
  </dataValidations>
  <pageMargins left="0.75" right="0.75" top="1" bottom="1" header="0.5" footer="0.5"/>
</worksheet>
</file>

<file path=xl/worksheets/sheet7.xml><?xml version="1.0" encoding="utf-8"?>
<worksheet xmlns="http://schemas.openxmlformats.org/spreadsheetml/2006/main">
  <sheetPr>
    <tabColor rgb="FFBF8F00"/>
    <outlinePr summaryBelow="1" summaryRight="1"/>
    <pageSetUpPr/>
  </sheetPr>
  <dimension ref="A1:M29"/>
  <sheetViews>
    <sheetView workbookViewId="0">
      <pane xSplit="1" ySplit="3" topLeftCell="B4" activePane="bottomRight" state="frozen"/>
      <selection activeCell="A1" sqref="A1"/>
      <selection pane="topRight" activeCell="A1" sqref="A1"/>
      <selection pane="bottomLeft" activeCell="A1" sqref="A1"/>
      <selection pane="bottomRight" activeCell="A1" sqref="A1:M1"/>
    </sheetView>
  </sheetViews>
  <sheetFormatPr baseColWidth="8" defaultColWidth="9" defaultRowHeight="14"/>
  <cols>
    <col width="11" customWidth="1" min="1" max="1"/>
    <col width="16" customWidth="1" min="2" max="6"/>
    <col width="14" customWidth="1" min="7" max="7"/>
    <col width="16" customWidth="1" min="8" max="8"/>
    <col width="14" customWidth="1" min="9" max="9"/>
    <col width="10" customWidth="1" min="10" max="10"/>
    <col width="12" customWidth="1" min="11" max="11"/>
    <col width="20" customWidth="1" min="12" max="12"/>
    <col width="32" customWidth="1" min="13" max="13"/>
  </cols>
  <sheetData>
    <row r="1" ht="26" customHeight="1">
      <c r="A1" s="1" t="inlineStr">
        <is>
          <t>月度净资产跟踪表</t>
        </is>
      </c>
    </row>
    <row r="2" ht="16" customHeight="1">
      <c r="A2" s="2" t="inlineStr">
        <is>
          <t>每月月末更新一次即可；2026-09 行已自动链接「资产明细」，后续月份请手工填写各分类金额；房产 1,315 万（自用 1,000 万＋投资性房地产 315 万）已纳入资产明细与总览看板，本表未单列房产</t>
        </is>
      </c>
    </row>
    <row r="3" ht="30" customHeight="1">
      <c r="A3" s="7" t="inlineStr">
        <is>
          <t>月份</t>
        </is>
      </c>
      <c r="B3" s="7" t="inlineStr">
        <is>
          <t>现金及存款</t>
        </is>
      </c>
      <c r="C3" s="7" t="inlineStr">
        <is>
          <t>股票及证券</t>
        </is>
      </c>
      <c r="D3" s="7" t="inlineStr">
        <is>
          <t>基金及理财</t>
        </is>
      </c>
      <c r="E3" s="7" t="inlineStr">
        <is>
          <t>保险(储蓄型)</t>
        </is>
      </c>
      <c r="F3" s="7" t="inlineStr">
        <is>
          <t>总资产</t>
        </is>
      </c>
      <c r="G3" s="7" t="inlineStr">
        <is>
          <t>总负债</t>
        </is>
      </c>
      <c r="H3" s="7" t="inlineStr">
        <is>
          <t>净资产</t>
        </is>
      </c>
      <c r="I3" s="7" t="inlineStr">
        <is>
          <t>环比增减</t>
        </is>
      </c>
      <c r="J3" s="7" t="inlineStr">
        <is>
          <t>环比%</t>
        </is>
      </c>
      <c r="K3" s="7" t="inlineStr">
        <is>
          <t>FIRE进度</t>
        </is>
      </c>
      <c r="L3" s="7" t="inlineStr">
        <is>
          <t>教育金专项(备查)</t>
        </is>
      </c>
      <c r="M3" s="7" t="inlineStr">
        <is>
          <t>备注</t>
        </is>
      </c>
    </row>
    <row r="4" ht="14.5" customHeight="1">
      <c r="A4" s="122" t="n">
        <v>46266</v>
      </c>
      <c r="B4" s="123">
        <f>资产明细!G8</f>
        <v/>
      </c>
      <c r="C4" s="123">
        <f>资产明细!G15</f>
        <v/>
      </c>
      <c r="D4" s="123">
        <f>资产明细!G19</f>
        <v/>
      </c>
      <c r="E4" s="123">
        <f>资产明细!G24</f>
        <v/>
      </c>
      <c r="F4" s="103">
        <f>IF(COUNT(B4:E4)=0,"",SUM(B4:E4))</f>
        <v/>
      </c>
      <c r="G4" s="123">
        <f>资产明细!G40</f>
        <v/>
      </c>
      <c r="H4" s="103">
        <f>IF(F4="","",F4-N(G4))</f>
        <v/>
      </c>
      <c r="I4" s="111" t="inlineStr"/>
      <c r="J4" s="106" t="inlineStr"/>
      <c r="K4" s="105">
        <f>IF(F4="","",IFERROR((N(B4)+N(C4)+N(D4))/FIRE目标,""))</f>
        <v/>
      </c>
      <c r="L4" s="123">
        <f>资产明细!G27</f>
        <v/>
      </c>
      <c r="M4" s="38" t="inlineStr">
        <is>
          <t>2026-09 快照。口径提示：本表「总资产」＝现金＋股票＋基金＋储蓄型保险（不含教育金与房产），但「总负债」含房贷 200 万（该负债对应自住房产，房产与投资房均未计入本表资产），因此本表净资产比全表口径（2,387.6 万）偏低约 800 万，仅供跟踪可投资资产的净值变化趋势。中信账户已拆分：阿里港股通 6,400 股、九毛九 63,000 股单列，账户按净额计。</t>
        </is>
      </c>
    </row>
    <row r="5" ht="14.5" customHeight="1">
      <c r="A5" s="122" t="n">
        <v>46296</v>
      </c>
      <c r="B5" s="110" t="n"/>
      <c r="C5" s="110" t="n"/>
      <c r="D5" s="110" t="n"/>
      <c r="E5" s="110" t="n"/>
      <c r="F5" s="103">
        <f>IF(COUNT(B5:E5)=0,"",SUM(B5:E5))</f>
        <v/>
      </c>
      <c r="G5" s="110" t="n"/>
      <c r="H5" s="103">
        <f>IF(F5="","",F5-N(G5))</f>
        <v/>
      </c>
      <c r="I5" s="103">
        <f>IF(OR(F5="",F4=""),"",H5-H4)</f>
        <v/>
      </c>
      <c r="J5" s="105">
        <f>IF(OR(I5="",H4=0,H4=""),"",I5/H4)</f>
        <v/>
      </c>
      <c r="K5" s="105">
        <f>IF(F5="","",IFERROR((N(B5)+N(C5)+N(D5))/FIRE目标,""))</f>
        <v/>
      </c>
      <c r="L5" s="110" t="n"/>
      <c r="M5" s="38" t="n"/>
    </row>
    <row r="6" ht="14.5" customHeight="1">
      <c r="A6" s="122" t="n">
        <v>46327</v>
      </c>
      <c r="B6" s="110" t="n"/>
      <c r="C6" s="110" t="n"/>
      <c r="D6" s="110" t="n"/>
      <c r="E6" s="110" t="n"/>
      <c r="F6" s="103">
        <f>IF(COUNT(B6:E6)=0,"",SUM(B6:E6))</f>
        <v/>
      </c>
      <c r="G6" s="110" t="n"/>
      <c r="H6" s="103">
        <f>IF(F6="","",F6-N(G6))</f>
        <v/>
      </c>
      <c r="I6" s="103">
        <f>IF(OR(F6="",F5=""),"",H6-H5)</f>
        <v/>
      </c>
      <c r="J6" s="105">
        <f>IF(OR(I6="",H5=0,H5=""),"",I6/H5)</f>
        <v/>
      </c>
      <c r="K6" s="105">
        <f>IF(F6="","",IFERROR((N(B6)+N(C6)+N(D6))/FIRE目标,""))</f>
        <v/>
      </c>
      <c r="L6" s="110" t="n"/>
      <c r="M6" s="38" t="n"/>
    </row>
    <row r="7" ht="14.5" customHeight="1">
      <c r="A7" s="122" t="n">
        <v>46357</v>
      </c>
      <c r="B7" s="110" t="n"/>
      <c r="C7" s="110" t="n"/>
      <c r="D7" s="110" t="n"/>
      <c r="E7" s="110" t="n"/>
      <c r="F7" s="103">
        <f>IF(COUNT(B7:E7)=0,"",SUM(B7:E7))</f>
        <v/>
      </c>
      <c r="G7" s="110" t="n"/>
      <c r="H7" s="103">
        <f>IF(F7="","",F7-N(G7))</f>
        <v/>
      </c>
      <c r="I7" s="103">
        <f>IF(OR(F7="",F6=""),"",H7-H6)</f>
        <v/>
      </c>
      <c r="J7" s="105">
        <f>IF(OR(I7="",H6=0,H6=""),"",I7/H6)</f>
        <v/>
      </c>
      <c r="K7" s="105">
        <f>IF(F7="","",IFERROR((N(B7)+N(C7)+N(D7))/FIRE目标,""))</f>
        <v/>
      </c>
      <c r="L7" s="110" t="n"/>
      <c r="M7" s="38" t="n"/>
    </row>
    <row r="8" ht="14.5" customHeight="1">
      <c r="A8" s="122" t="n">
        <v>46388</v>
      </c>
      <c r="B8" s="110" t="n"/>
      <c r="C8" s="110" t="n"/>
      <c r="D8" s="110" t="n"/>
      <c r="E8" s="110" t="n"/>
      <c r="F8" s="103">
        <f>IF(COUNT(B8:E8)=0,"",SUM(B8:E8))</f>
        <v/>
      </c>
      <c r="G8" s="110" t="n"/>
      <c r="H8" s="103">
        <f>IF(F8="","",F8-N(G8))</f>
        <v/>
      </c>
      <c r="I8" s="103">
        <f>IF(OR(F8="",F7=""),"",H8-H7)</f>
        <v/>
      </c>
      <c r="J8" s="105">
        <f>IF(OR(I8="",H7=0,H7=""),"",I8/H7)</f>
        <v/>
      </c>
      <c r="K8" s="105">
        <f>IF(F8="","",IFERROR((N(B8)+N(C8)+N(D8))/FIRE目标,""))</f>
        <v/>
      </c>
      <c r="L8" s="110" t="n"/>
      <c r="M8" s="38" t="n"/>
    </row>
    <row r="9" ht="14.5" customHeight="1">
      <c r="A9" s="122" t="n">
        <v>46419</v>
      </c>
      <c r="B9" s="110" t="n"/>
      <c r="C9" s="110" t="n"/>
      <c r="D9" s="110" t="n"/>
      <c r="E9" s="110" t="n"/>
      <c r="F9" s="103">
        <f>IF(COUNT(B9:E9)=0,"",SUM(B9:E9))</f>
        <v/>
      </c>
      <c r="G9" s="110" t="n"/>
      <c r="H9" s="103">
        <f>IF(F9="","",F9-N(G9))</f>
        <v/>
      </c>
      <c r="I9" s="103">
        <f>IF(OR(F9="",F8=""),"",H9-H8)</f>
        <v/>
      </c>
      <c r="J9" s="105">
        <f>IF(OR(I9="",H8=0,H8=""),"",I9/H8)</f>
        <v/>
      </c>
      <c r="K9" s="105">
        <f>IF(F9="","",IFERROR((N(B9)+N(C9)+N(D9))/FIRE目标,""))</f>
        <v/>
      </c>
      <c r="L9" s="110" t="n"/>
      <c r="M9" s="38" t="n"/>
    </row>
    <row r="10" ht="14.5" customHeight="1">
      <c r="A10" s="122" t="n">
        <v>46447</v>
      </c>
      <c r="B10" s="110" t="n"/>
      <c r="C10" s="110" t="n"/>
      <c r="D10" s="110" t="n"/>
      <c r="E10" s="110" t="n"/>
      <c r="F10" s="103">
        <f>IF(COUNT(B10:E10)=0,"",SUM(B10:E10))</f>
        <v/>
      </c>
      <c r="G10" s="110" t="n"/>
      <c r="H10" s="103">
        <f>IF(F10="","",F10-N(G10))</f>
        <v/>
      </c>
      <c r="I10" s="103">
        <f>IF(OR(F10="",F9=""),"",H10-H9)</f>
        <v/>
      </c>
      <c r="J10" s="105">
        <f>IF(OR(I10="",H9=0,H9=""),"",I10/H9)</f>
        <v/>
      </c>
      <c r="K10" s="105">
        <f>IF(F10="","",IFERROR((N(B10)+N(C10)+N(D10))/FIRE目标,""))</f>
        <v/>
      </c>
      <c r="L10" s="110" t="n"/>
      <c r="M10" s="38" t="n"/>
    </row>
    <row r="11" ht="14.5" customHeight="1">
      <c r="A11" s="122" t="n">
        <v>46478</v>
      </c>
      <c r="B11" s="110" t="n"/>
      <c r="C11" s="110" t="n"/>
      <c r="D11" s="110" t="n"/>
      <c r="E11" s="110" t="n"/>
      <c r="F11" s="103">
        <f>IF(COUNT(B11:E11)=0,"",SUM(B11:E11))</f>
        <v/>
      </c>
      <c r="G11" s="110" t="n"/>
      <c r="H11" s="103">
        <f>IF(F11="","",F11-N(G11))</f>
        <v/>
      </c>
      <c r="I11" s="103">
        <f>IF(OR(F11="",F10=""),"",H11-H10)</f>
        <v/>
      </c>
      <c r="J11" s="105">
        <f>IF(OR(I11="",H10=0,H10=""),"",I11/H10)</f>
        <v/>
      </c>
      <c r="K11" s="105">
        <f>IF(F11="","",IFERROR((N(B11)+N(C11)+N(D11))/FIRE目标,""))</f>
        <v/>
      </c>
      <c r="L11" s="110" t="n"/>
      <c r="M11" s="38" t="n"/>
    </row>
    <row r="12" ht="14.5" customHeight="1">
      <c r="A12" s="122" t="n">
        <v>46508</v>
      </c>
      <c r="B12" s="110" t="n"/>
      <c r="C12" s="110" t="n"/>
      <c r="D12" s="110" t="n"/>
      <c r="E12" s="110" t="n"/>
      <c r="F12" s="103">
        <f>IF(COUNT(B12:E12)=0,"",SUM(B12:E12))</f>
        <v/>
      </c>
      <c r="G12" s="110" t="n"/>
      <c r="H12" s="103">
        <f>IF(F12="","",F12-N(G12))</f>
        <v/>
      </c>
      <c r="I12" s="103">
        <f>IF(OR(F12="",F11=""),"",H12-H11)</f>
        <v/>
      </c>
      <c r="J12" s="105">
        <f>IF(OR(I12="",H11=0,H11=""),"",I12/H11)</f>
        <v/>
      </c>
      <c r="K12" s="105">
        <f>IF(F12="","",IFERROR((N(B12)+N(C12)+N(D12))/FIRE目标,""))</f>
        <v/>
      </c>
      <c r="L12" s="110" t="n"/>
      <c r="M12" s="38" t="n"/>
    </row>
    <row r="13" ht="14.5" customHeight="1">
      <c r="A13" s="122" t="n">
        <v>46539</v>
      </c>
      <c r="B13" s="110" t="n"/>
      <c r="C13" s="110" t="n"/>
      <c r="D13" s="110" t="n"/>
      <c r="E13" s="110" t="n"/>
      <c r="F13" s="103">
        <f>IF(COUNT(B13:E13)=0,"",SUM(B13:E13))</f>
        <v/>
      </c>
      <c r="G13" s="110" t="n"/>
      <c r="H13" s="103">
        <f>IF(F13="","",F13-N(G13))</f>
        <v/>
      </c>
      <c r="I13" s="103">
        <f>IF(OR(F13="",F12=""),"",H13-H12)</f>
        <v/>
      </c>
      <c r="J13" s="105">
        <f>IF(OR(I13="",H12=0,H12=""),"",I13/H12)</f>
        <v/>
      </c>
      <c r="K13" s="105">
        <f>IF(F13="","",IFERROR((N(B13)+N(C13)+N(D13))/FIRE目标,""))</f>
        <v/>
      </c>
      <c r="L13" s="110" t="n"/>
      <c r="M13" s="38" t="n"/>
    </row>
    <row r="14" ht="14.5" customHeight="1">
      <c r="A14" s="122" t="n">
        <v>46569</v>
      </c>
      <c r="B14" s="110" t="n"/>
      <c r="C14" s="110" t="n"/>
      <c r="D14" s="110" t="n"/>
      <c r="E14" s="110" t="n"/>
      <c r="F14" s="103">
        <f>IF(COUNT(B14:E14)=0,"",SUM(B14:E14))</f>
        <v/>
      </c>
      <c r="G14" s="110" t="n"/>
      <c r="H14" s="103">
        <f>IF(F14="","",F14-N(G14))</f>
        <v/>
      </c>
      <c r="I14" s="103">
        <f>IF(OR(F14="",F13=""),"",H14-H13)</f>
        <v/>
      </c>
      <c r="J14" s="105">
        <f>IF(OR(I14="",H13=0,H13=""),"",I14/H13)</f>
        <v/>
      </c>
      <c r="K14" s="105">
        <f>IF(F14="","",IFERROR((N(B14)+N(C14)+N(D14))/FIRE目标,""))</f>
        <v/>
      </c>
      <c r="L14" s="110" t="n"/>
      <c r="M14" s="38" t="n"/>
    </row>
    <row r="15" ht="14.5" customHeight="1">
      <c r="A15" s="122" t="n">
        <v>46600</v>
      </c>
      <c r="B15" s="110" t="n"/>
      <c r="C15" s="110" t="n"/>
      <c r="D15" s="110" t="n"/>
      <c r="E15" s="110" t="n"/>
      <c r="F15" s="103">
        <f>IF(COUNT(B15:E15)=0,"",SUM(B15:E15))</f>
        <v/>
      </c>
      <c r="G15" s="110" t="n"/>
      <c r="H15" s="103">
        <f>IF(F15="","",F15-N(G15))</f>
        <v/>
      </c>
      <c r="I15" s="103">
        <f>IF(OR(F15="",F14=""),"",H15-H14)</f>
        <v/>
      </c>
      <c r="J15" s="105">
        <f>IF(OR(I15="",H14=0,H14=""),"",I15/H14)</f>
        <v/>
      </c>
      <c r="K15" s="105">
        <f>IF(F15="","",IFERROR((N(B15)+N(C15)+N(D15))/FIRE目标,""))</f>
        <v/>
      </c>
      <c r="L15" s="110" t="n"/>
      <c r="M15" s="38" t="n"/>
    </row>
    <row r="16" ht="14.5" customHeight="1">
      <c r="A16" s="122" t="n">
        <v>46631</v>
      </c>
      <c r="B16" s="110" t="n"/>
      <c r="C16" s="110" t="n"/>
      <c r="D16" s="110" t="n"/>
      <c r="E16" s="110" t="n"/>
      <c r="F16" s="103">
        <f>IF(COUNT(B16:E16)=0,"",SUM(B16:E16))</f>
        <v/>
      </c>
      <c r="G16" s="110" t="n"/>
      <c r="H16" s="103">
        <f>IF(F16="","",F16-N(G16))</f>
        <v/>
      </c>
      <c r="I16" s="103">
        <f>IF(OR(F16="",F15=""),"",H16-H15)</f>
        <v/>
      </c>
      <c r="J16" s="105">
        <f>IF(OR(I16="",H15=0,H15=""),"",I16/H15)</f>
        <v/>
      </c>
      <c r="K16" s="105">
        <f>IF(F16="","",IFERROR((N(B16)+N(C16)+N(D16))/FIRE目标,""))</f>
        <v/>
      </c>
      <c r="L16" s="110" t="n"/>
      <c r="M16" s="38" t="n"/>
    </row>
    <row r="17" ht="14.5" customHeight="1">
      <c r="A17" s="122" t="n">
        <v>46661</v>
      </c>
      <c r="B17" s="110" t="n"/>
      <c r="C17" s="110" t="n"/>
      <c r="D17" s="110" t="n"/>
      <c r="E17" s="110" t="n"/>
      <c r="F17" s="103">
        <f>IF(COUNT(B17:E17)=0,"",SUM(B17:E17))</f>
        <v/>
      </c>
      <c r="G17" s="110" t="n"/>
      <c r="H17" s="103">
        <f>IF(F17="","",F17-N(G17))</f>
        <v/>
      </c>
      <c r="I17" s="103">
        <f>IF(OR(F17="",F16=""),"",H17-H16)</f>
        <v/>
      </c>
      <c r="J17" s="105">
        <f>IF(OR(I17="",H16=0,H16=""),"",I17/H16)</f>
        <v/>
      </c>
      <c r="K17" s="105">
        <f>IF(F17="","",IFERROR((N(B17)+N(C17)+N(D17))/FIRE目标,""))</f>
        <v/>
      </c>
      <c r="L17" s="110" t="n"/>
      <c r="M17" s="38" t="n"/>
    </row>
    <row r="18" ht="14.5" customHeight="1">
      <c r="A18" s="122" t="n">
        <v>46692</v>
      </c>
      <c r="B18" s="110" t="n"/>
      <c r="C18" s="110" t="n"/>
      <c r="D18" s="110" t="n"/>
      <c r="E18" s="110" t="n"/>
      <c r="F18" s="103">
        <f>IF(COUNT(B18:E18)=0,"",SUM(B18:E18))</f>
        <v/>
      </c>
      <c r="G18" s="110" t="n"/>
      <c r="H18" s="103">
        <f>IF(F18="","",F18-N(G18))</f>
        <v/>
      </c>
      <c r="I18" s="103">
        <f>IF(OR(F18="",F17=""),"",H18-H17)</f>
        <v/>
      </c>
      <c r="J18" s="105">
        <f>IF(OR(I18="",H17=0,H17=""),"",I18/H17)</f>
        <v/>
      </c>
      <c r="K18" s="105">
        <f>IF(F18="","",IFERROR((N(B18)+N(C18)+N(D18))/FIRE目标,""))</f>
        <v/>
      </c>
      <c r="L18" s="110" t="n"/>
      <c r="M18" s="38" t="n"/>
    </row>
    <row r="19" ht="14.5" customHeight="1">
      <c r="A19" s="122" t="n">
        <v>46722</v>
      </c>
      <c r="B19" s="110" t="n"/>
      <c r="C19" s="110" t="n"/>
      <c r="D19" s="110" t="n"/>
      <c r="E19" s="110" t="n"/>
      <c r="F19" s="103">
        <f>IF(COUNT(B19:E19)=0,"",SUM(B19:E19))</f>
        <v/>
      </c>
      <c r="G19" s="110" t="n"/>
      <c r="H19" s="103">
        <f>IF(F19="","",F19-N(G19))</f>
        <v/>
      </c>
      <c r="I19" s="103">
        <f>IF(OR(F19="",F18=""),"",H19-H18)</f>
        <v/>
      </c>
      <c r="J19" s="105">
        <f>IF(OR(I19="",H18=0,H18=""),"",I19/H18)</f>
        <v/>
      </c>
      <c r="K19" s="105">
        <f>IF(F19="","",IFERROR((N(B19)+N(C19)+N(D19))/FIRE目标,""))</f>
        <v/>
      </c>
      <c r="L19" s="110" t="n"/>
      <c r="M19" s="38" t="n"/>
    </row>
    <row r="20" ht="14.5" customHeight="1">
      <c r="A20" s="122" t="n">
        <v>46753</v>
      </c>
      <c r="B20" s="110" t="n"/>
      <c r="C20" s="110" t="n"/>
      <c r="D20" s="110" t="n"/>
      <c r="E20" s="110" t="n"/>
      <c r="F20" s="103">
        <f>IF(COUNT(B20:E20)=0,"",SUM(B20:E20))</f>
        <v/>
      </c>
      <c r="G20" s="110" t="n"/>
      <c r="H20" s="103">
        <f>IF(F20="","",F20-N(G20))</f>
        <v/>
      </c>
      <c r="I20" s="103">
        <f>IF(OR(F20="",F19=""),"",H20-H19)</f>
        <v/>
      </c>
      <c r="J20" s="105">
        <f>IF(OR(I20="",H19=0,H19=""),"",I20/H19)</f>
        <v/>
      </c>
      <c r="K20" s="105">
        <f>IF(F20="","",IFERROR((N(B20)+N(C20)+N(D20))/FIRE目标,""))</f>
        <v/>
      </c>
      <c r="L20" s="110" t="n"/>
      <c r="M20" s="38" t="n"/>
    </row>
    <row r="21" ht="14.5" customHeight="1">
      <c r="A21" s="122" t="n">
        <v>46784</v>
      </c>
      <c r="B21" s="110" t="n"/>
      <c r="C21" s="110" t="n"/>
      <c r="D21" s="110" t="n"/>
      <c r="E21" s="110" t="n"/>
      <c r="F21" s="103">
        <f>IF(COUNT(B21:E21)=0,"",SUM(B21:E21))</f>
        <v/>
      </c>
      <c r="G21" s="110" t="n"/>
      <c r="H21" s="103">
        <f>IF(F21="","",F21-N(G21))</f>
        <v/>
      </c>
      <c r="I21" s="103">
        <f>IF(OR(F21="",F20=""),"",H21-H20)</f>
        <v/>
      </c>
      <c r="J21" s="105">
        <f>IF(OR(I21="",H20=0,H20=""),"",I21/H20)</f>
        <v/>
      </c>
      <c r="K21" s="105">
        <f>IF(F21="","",IFERROR((N(B21)+N(C21)+N(D21))/FIRE目标,""))</f>
        <v/>
      </c>
      <c r="L21" s="110" t="n"/>
      <c r="M21" s="38" t="n"/>
    </row>
    <row r="22" ht="14.5" customHeight="1">
      <c r="A22" s="122" t="n">
        <v>46813</v>
      </c>
      <c r="B22" s="110" t="n"/>
      <c r="C22" s="110" t="n"/>
      <c r="D22" s="110" t="n"/>
      <c r="E22" s="110" t="n"/>
      <c r="F22" s="103">
        <f>IF(COUNT(B22:E22)=0,"",SUM(B22:E22))</f>
        <v/>
      </c>
      <c r="G22" s="110" t="n"/>
      <c r="H22" s="103">
        <f>IF(F22="","",F22-N(G22))</f>
        <v/>
      </c>
      <c r="I22" s="103">
        <f>IF(OR(F22="",F21=""),"",H22-H21)</f>
        <v/>
      </c>
      <c r="J22" s="105">
        <f>IF(OR(I22="",H21=0,H21=""),"",I22/H21)</f>
        <v/>
      </c>
      <c r="K22" s="105">
        <f>IF(F22="","",IFERROR((N(B22)+N(C22)+N(D22))/FIRE目标,""))</f>
        <v/>
      </c>
      <c r="L22" s="110" t="n"/>
      <c r="M22" s="38" t="n"/>
    </row>
    <row r="23" ht="14.5" customHeight="1">
      <c r="A23" s="122" t="n">
        <v>46844</v>
      </c>
      <c r="B23" s="110" t="n"/>
      <c r="C23" s="110" t="n"/>
      <c r="D23" s="110" t="n"/>
      <c r="E23" s="110" t="n"/>
      <c r="F23" s="103">
        <f>IF(COUNT(B23:E23)=0,"",SUM(B23:E23))</f>
        <v/>
      </c>
      <c r="G23" s="110" t="n"/>
      <c r="H23" s="103">
        <f>IF(F23="","",F23-N(G23))</f>
        <v/>
      </c>
      <c r="I23" s="103">
        <f>IF(OR(F23="",F22=""),"",H23-H22)</f>
        <v/>
      </c>
      <c r="J23" s="105">
        <f>IF(OR(I23="",H22=0,H22=""),"",I23/H22)</f>
        <v/>
      </c>
      <c r="K23" s="105">
        <f>IF(F23="","",IFERROR((N(B23)+N(C23)+N(D23))/FIRE目标,""))</f>
        <v/>
      </c>
      <c r="L23" s="110" t="n"/>
      <c r="M23" s="38" t="n"/>
    </row>
    <row r="24" ht="14.5" customHeight="1">
      <c r="A24" s="122" t="n">
        <v>46874</v>
      </c>
      <c r="B24" s="110" t="n"/>
      <c r="C24" s="110" t="n"/>
      <c r="D24" s="110" t="n"/>
      <c r="E24" s="110" t="n"/>
      <c r="F24" s="103">
        <f>IF(COUNT(B24:E24)=0,"",SUM(B24:E24))</f>
        <v/>
      </c>
      <c r="G24" s="110" t="n"/>
      <c r="H24" s="103">
        <f>IF(F24="","",F24-N(G24))</f>
        <v/>
      </c>
      <c r="I24" s="103">
        <f>IF(OR(F24="",F23=""),"",H24-H23)</f>
        <v/>
      </c>
      <c r="J24" s="105">
        <f>IF(OR(I24="",H23=0,H23=""),"",I24/H23)</f>
        <v/>
      </c>
      <c r="K24" s="105">
        <f>IF(F24="","",IFERROR((N(B24)+N(C24)+N(D24))/FIRE目标,""))</f>
        <v/>
      </c>
      <c r="L24" s="110" t="n"/>
      <c r="M24" s="38" t="n"/>
    </row>
    <row r="25" ht="14.5" customHeight="1">
      <c r="A25" s="122" t="n">
        <v>46905</v>
      </c>
      <c r="B25" s="110" t="n"/>
      <c r="C25" s="110" t="n"/>
      <c r="D25" s="110" t="n"/>
      <c r="E25" s="110" t="n"/>
      <c r="F25" s="103">
        <f>IF(COUNT(B25:E25)=0,"",SUM(B25:E25))</f>
        <v/>
      </c>
      <c r="G25" s="110" t="n"/>
      <c r="H25" s="103">
        <f>IF(F25="","",F25-N(G25))</f>
        <v/>
      </c>
      <c r="I25" s="103">
        <f>IF(OR(F25="",F24=""),"",H25-H24)</f>
        <v/>
      </c>
      <c r="J25" s="105">
        <f>IF(OR(I25="",H24=0,H24=""),"",I25/H24)</f>
        <v/>
      </c>
      <c r="K25" s="105">
        <f>IF(F25="","",IFERROR((N(B25)+N(C25)+N(D25))/FIRE目标,""))</f>
        <v/>
      </c>
      <c r="L25" s="110" t="n"/>
      <c r="M25" s="38" t="n"/>
    </row>
    <row r="26" ht="14.5" customHeight="1">
      <c r="A26" s="122" t="n">
        <v>46935</v>
      </c>
      <c r="B26" s="110" t="n"/>
      <c r="C26" s="110" t="n"/>
      <c r="D26" s="110" t="n"/>
      <c r="E26" s="110" t="n"/>
      <c r="F26" s="103">
        <f>IF(COUNT(B26:E26)=0,"",SUM(B26:E26))</f>
        <v/>
      </c>
      <c r="G26" s="110" t="n"/>
      <c r="H26" s="103">
        <f>IF(F26="","",F26-N(G26))</f>
        <v/>
      </c>
      <c r="I26" s="103">
        <f>IF(OR(F26="",F25=""),"",H26-H25)</f>
        <v/>
      </c>
      <c r="J26" s="105">
        <f>IF(OR(I26="",H25=0,H25=""),"",I26/H25)</f>
        <v/>
      </c>
      <c r="K26" s="105">
        <f>IF(F26="","",IFERROR((N(B26)+N(C26)+N(D26))/FIRE目标,""))</f>
        <v/>
      </c>
      <c r="L26" s="110" t="n"/>
      <c r="M26" s="38" t="n"/>
    </row>
    <row r="27" ht="14.5" customHeight="1">
      <c r="A27" s="122" t="n">
        <v>46966</v>
      </c>
      <c r="B27" s="110" t="n"/>
      <c r="C27" s="110" t="n"/>
      <c r="D27" s="110" t="n"/>
      <c r="E27" s="110" t="n"/>
      <c r="F27" s="103">
        <f>IF(COUNT(B27:E27)=0,"",SUM(B27:E27))</f>
        <v/>
      </c>
      <c r="G27" s="110" t="n"/>
      <c r="H27" s="103">
        <f>IF(F27="","",F27-N(G27))</f>
        <v/>
      </c>
      <c r="I27" s="103">
        <f>IF(OR(F27="",F26=""),"",H27-H26)</f>
        <v/>
      </c>
      <c r="J27" s="105">
        <f>IF(OR(I27="",H26=0,H26=""),"",I27/H26)</f>
        <v/>
      </c>
      <c r="K27" s="105">
        <f>IF(F27="","",IFERROR((N(B27)+N(C27)+N(D27))/FIRE目标,""))</f>
        <v/>
      </c>
      <c r="L27" s="110" t="n"/>
      <c r="M27" s="38" t="n"/>
    </row>
    <row r="29" ht="28" customHeight="1">
      <c r="A29" s="26" t="inlineStr">
        <is>
          <t>说明</t>
        </is>
      </c>
      <c r="B29" s="40" t="inlineStr">
        <is>
          <t>「FIRE进度」＝(现金＋股票＋基金)÷ FIRE目标。FIRE目标 为定义名称，指向「FIRE测算」的目标资产单元格，因此新增/删除参数行不会导致引用错位。教育金专项（恒泰尊享现价）单列备查，不计入 FIRE 进度。</t>
        </is>
      </c>
      <c r="C29" s="41" t="n"/>
      <c r="D29" s="41" t="n"/>
      <c r="E29" s="41" t="n"/>
      <c r="F29" s="41" t="n"/>
      <c r="G29" s="41" t="n"/>
      <c r="H29" s="41" t="n"/>
      <c r="I29" s="41" t="n"/>
      <c r="J29" s="41" t="n"/>
      <c r="K29" s="41" t="n"/>
      <c r="L29" s="41" t="n"/>
      <c r="M29" s="42" t="n"/>
    </row>
  </sheetData>
  <mergeCells count="3">
    <mergeCell ref="A2:M2"/>
    <mergeCell ref="B29:M29"/>
    <mergeCell ref="A1:M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FFC00000"/>
    <outlinePr summaryBelow="1" summaryRight="1"/>
    <pageSetUpPr/>
  </sheetPr>
  <dimension ref="A1:I108"/>
  <sheetViews>
    <sheetView workbookViewId="0">
      <pane ySplit="3" topLeftCell="A4" activePane="bottomLeft" state="frozen"/>
      <selection activeCell="A1" sqref="A1"/>
      <selection pane="bottomLeft" activeCell="E11" sqref="E11"/>
    </sheetView>
  </sheetViews>
  <sheetFormatPr baseColWidth="8" defaultColWidth="9" defaultRowHeight="14"/>
  <cols>
    <col width="24" customWidth="1" min="1" max="1"/>
    <col width="16" customWidth="1" min="2" max="2"/>
    <col width="12" customWidth="1" min="3" max="3"/>
    <col width="46" customWidth="1" min="4" max="4"/>
    <col width="16" customWidth="1" min="5" max="6"/>
    <col width="18" customWidth="1" min="7" max="7"/>
    <col width="16" customWidth="1" min="8" max="8"/>
  </cols>
  <sheetData>
    <row r="1" ht="26" customHeight="1">
      <c r="A1" s="1" t="inlineStr">
        <is>
          <t>FIRE 财务自由测算</t>
        </is>
      </c>
    </row>
    <row r="2" ht="16" customHeight="1">
      <c r="A2" s="2" t="inlineStr">
        <is>
          <t>FIRE＝Financial Independence, Retire Early；以「年支出÷安全提款率」为目标资产，动态判断达成时间</t>
        </is>
      </c>
    </row>
    <row r="3" ht="20" customHeight="1">
      <c r="A3" s="3" t="inlineStr">
        <is>
          <t>一、核心参数与假设</t>
        </is>
      </c>
    </row>
    <row r="4" ht="30" customHeight="1">
      <c r="A4" s="7" t="inlineStr">
        <is>
          <t>参数</t>
        </is>
      </c>
      <c r="B4" s="7" t="inlineStr">
        <is>
          <t>数值</t>
        </is>
      </c>
      <c r="C4" s="7" t="inlineStr">
        <is>
          <t>单位</t>
        </is>
      </c>
      <c r="D4" s="7" t="inlineStr">
        <is>
          <t>说明</t>
        </is>
      </c>
    </row>
    <row r="5" ht="14.5" customHeight="1">
      <c r="A5" s="8" t="inlineStr">
        <is>
          <t>当前年龄</t>
        </is>
      </c>
      <c r="B5" s="9" t="n">
        <v>46</v>
      </c>
      <c r="C5" s="10" t="inlineStr">
        <is>
          <t>岁</t>
        </is>
      </c>
      <c r="D5" s="11" t="inlineStr">
        <is>
          <t>手工输入（黄色＝重点假设）</t>
        </is>
      </c>
    </row>
    <row r="6" ht="14.5" customHeight="1">
      <c r="A6" s="8" t="inlineStr">
        <is>
          <t>安全提款率 SWR</t>
        </is>
      </c>
      <c r="B6" s="125" t="n">
        <v>0.04</v>
      </c>
      <c r="C6" s="10" t="inlineStr">
        <is>
          <t>%</t>
        </is>
      </c>
      <c r="D6" s="11" t="inlineStr">
        <is>
          <t>4% 法则：年支出÷4%＝所需资产（25倍年支出）</t>
        </is>
      </c>
    </row>
    <row r="7" ht="14.5" customHeight="1">
      <c r="A7" s="8" t="inlineStr">
        <is>
          <t>预期投资年化收益率（名义）</t>
        </is>
      </c>
      <c r="B7" s="125" t="n">
        <v>0.07000000000000001</v>
      </c>
      <c r="C7" s="10" t="inlineStr">
        <is>
          <t>%</t>
        </is>
      </c>
      <c r="D7" s="11" t="inlineStr">
        <is>
          <t>股/基/现金组合的长期期望收益，请按自身风险偏好调整</t>
        </is>
      </c>
    </row>
    <row r="8" ht="14.5" customHeight="1">
      <c r="A8" s="8" t="inlineStr">
        <is>
          <t>预期通胀率</t>
        </is>
      </c>
      <c r="B8" s="125" t="n">
        <v>0.025</v>
      </c>
      <c r="C8" s="10" t="inlineStr">
        <is>
          <t>%</t>
        </is>
      </c>
      <c r="D8" s="11" t="inlineStr">
        <is>
          <t>用于换算实际收益率</t>
        </is>
      </c>
    </row>
    <row r="9" ht="14.5" customHeight="1">
      <c r="A9" s="8" t="inlineStr">
        <is>
          <t>手动年支出估算（元）</t>
        </is>
      </c>
      <c r="B9" s="116" t="n">
        <v>500000</v>
      </c>
      <c r="C9" s="10" t="inlineStr">
        <is>
          <t>元</t>
        </is>
      </c>
      <c r="D9" s="11" t="inlineStr">
        <is>
          <t>无记账数据时采用此值</t>
        </is>
      </c>
    </row>
    <row r="10" ht="14.5" customHeight="1">
      <c r="A10" s="8" t="inlineStr">
        <is>
          <t>手动年储蓄估算（元）</t>
        </is>
      </c>
      <c r="B10" s="116" t="n">
        <v>400000</v>
      </c>
      <c r="C10" s="10" t="inlineStr">
        <is>
          <t>元</t>
        </is>
      </c>
      <c r="D10" s="11" t="inlineStr">
        <is>
          <t>无记账数据时采用此值</t>
        </is>
      </c>
    </row>
    <row r="11" ht="39" customHeight="1">
      <c r="A11" s="8" t="inlineStr">
        <is>
          <t>是否计入保险年金现价</t>
        </is>
      </c>
      <c r="B11" s="14" t="inlineStr">
        <is>
          <t>否</t>
        </is>
      </c>
      <c r="C11" s="10" t="inlineStr">
        <is>
          <t>是/否</t>
        </is>
      </c>
      <c r="D11" s="11" t="inlineStr">
        <is>
          <t>★推荐「否」：泰康年金现价在 60 岁后递减、84 岁归零，其价值已由「三、两阶段目标」以收入流方式处理；计入会重复计算</t>
        </is>
      </c>
    </row>
    <row r="12" ht="14.5" customHeight="1">
      <c r="A12" s="15" t="inlineStr">
        <is>
          <t>年支出（记账表自动）</t>
        </is>
      </c>
      <c r="B12" s="123">
        <f>收支记账!B40</f>
        <v/>
      </c>
      <c r="C12" s="10" t="inlineStr">
        <is>
          <t>元</t>
        </is>
      </c>
      <c r="D12" s="11" t="inlineStr">
        <is>
          <t>＝记账表「年化支出」</t>
        </is>
      </c>
    </row>
    <row r="13" ht="14.5" customHeight="1">
      <c r="A13" s="15" t="inlineStr">
        <is>
          <t>年储蓄（记账表自动）</t>
        </is>
      </c>
      <c r="B13" s="123">
        <f>收支记账!B43</f>
        <v/>
      </c>
      <c r="C13" s="10" t="inlineStr">
        <is>
          <t>元</t>
        </is>
      </c>
      <c r="D13" s="11" t="inlineStr">
        <is>
          <t>＝记账表「年化储蓄」</t>
        </is>
      </c>
    </row>
    <row r="14" ht="14.5" customHeight="1">
      <c r="A14" s="15" t="inlineStr">
        <is>
          <t>采用年支出（元）</t>
        </is>
      </c>
      <c r="B14" s="112">
        <f>IF(B12&gt;0,B12,B9)</f>
        <v/>
      </c>
      <c r="C14" s="10" t="inlineStr">
        <is>
          <t>元</t>
        </is>
      </c>
      <c r="D14" s="11" t="inlineStr">
        <is>
          <t>有记账数据则优先用记账数据，否则用手动估算</t>
        </is>
      </c>
    </row>
    <row r="15" ht="14.5" customHeight="1">
      <c r="A15" s="15" t="inlineStr">
        <is>
          <t>采用年储蓄（元）</t>
        </is>
      </c>
      <c r="B15" s="112">
        <f>IF(B13&gt;0,B13,B10)</f>
        <v/>
      </c>
      <c r="C15" s="10" t="inlineStr">
        <is>
          <t>元</t>
        </is>
      </c>
      <c r="D15" s="11" t="inlineStr">
        <is>
          <t>同上</t>
        </is>
      </c>
    </row>
    <row r="16" ht="14.5" customHeight="1">
      <c r="A16" s="8" t="inlineStr">
        <is>
          <t>年金起始领取年龄</t>
        </is>
      </c>
      <c r="B16" s="9" t="n">
        <v>60</v>
      </c>
      <c r="C16" s="10" t="inlineStr">
        <is>
          <t>岁</t>
        </is>
      </c>
      <c r="D16" s="11" t="inlineStr">
        <is>
          <t>泰康乐享百岁：60 岁起按月领取（条款 1.4）</t>
        </is>
      </c>
    </row>
    <row r="17" ht="14.5" customHeight="1">
      <c r="A17" s="8" t="inlineStr">
        <is>
          <t>年金月领取额（元）</t>
        </is>
      </c>
      <c r="B17" s="116" t="n">
        <v>15000</v>
      </c>
      <c r="C17" s="10" t="inlineStr">
        <is>
          <t>元</t>
        </is>
      </c>
      <c r="D17" s="11" t="inlineStr">
        <is>
          <t>取自保单：基本保险金额 = 15,000 元/月</t>
        </is>
      </c>
    </row>
    <row r="18" ht="14.5" customHeight="1">
      <c r="A18" s="15" t="inlineStr">
        <is>
          <t>年金年领取额（元）</t>
        </is>
      </c>
      <c r="B18" s="112">
        <f>B17*11.866</f>
        <v/>
      </c>
      <c r="C18" s="10" t="inlineStr">
        <is>
          <t>元</t>
        </is>
      </c>
      <c r="D18" s="11" t="inlineStr">
        <is>
          <t>＝月领取额 × 11.866（条款 1.4 的换算系数）</t>
        </is>
      </c>
    </row>
    <row r="19" ht="14.5" customHeight="1">
      <c r="A19" s="8" t="inlineStr">
        <is>
          <t>退休后是否停止储蓄</t>
        </is>
      </c>
      <c r="B19" s="14" t="inlineStr">
        <is>
          <t>是</t>
        </is>
      </c>
      <c r="C19" s="10" t="inlineStr">
        <is>
          <t>是/否</t>
        </is>
      </c>
      <c r="D19" s="11" t="inlineStr">
        <is>
          <t>退休后不再有工资性储蓄，推演按此切换</t>
        </is>
      </c>
    </row>
    <row r="20" ht="20" customHeight="1">
      <c r="A20" s="3" t="inlineStr">
        <is>
          <t>二、FIRE 目标与当前进度</t>
        </is>
      </c>
    </row>
    <row r="21" ht="14.5" customHeight="1">
      <c r="A21" s="8" t="inlineStr">
        <is>
          <t>FIRE 目标资产（元）</t>
        </is>
      </c>
      <c r="B21" s="112">
        <f>IF(B6=0,"",B14/B6)</f>
        <v/>
      </c>
      <c r="C21" s="15" t="inlineStr"/>
      <c r="D21" s="11" t="inlineStr">
        <is>
          <t>＝采用年支出 ÷ SWR（不含年金的稳健口径）</t>
        </is>
      </c>
    </row>
    <row r="22" ht="14.5" customHeight="1">
      <c r="A22" s="8" t="inlineStr">
        <is>
          <t>现金及存款（元）</t>
        </is>
      </c>
      <c r="B22" s="90">
        <f>资产明细!G8</f>
        <v/>
      </c>
      <c r="C22" s="15" t="inlineStr"/>
      <c r="D22" s="11" t="inlineStr">
        <is>
          <t>链接「资产明细」</t>
        </is>
      </c>
    </row>
    <row r="23" ht="14.5" customHeight="1">
      <c r="A23" s="8" t="inlineStr">
        <is>
          <t>股票及证券（元）</t>
        </is>
      </c>
      <c r="B23" s="90">
        <f>资产明细!G15</f>
        <v/>
      </c>
      <c r="C23" s="15" t="inlineStr"/>
      <c r="D23" s="11" t="inlineStr"/>
    </row>
    <row r="24" ht="14.5" customHeight="1">
      <c r="A24" s="8" t="inlineStr">
        <is>
          <t>基金及理财（元）</t>
        </is>
      </c>
      <c r="B24" s="90">
        <f>资产明细!G19</f>
        <v/>
      </c>
      <c r="C24" s="15" t="inlineStr"/>
      <c r="D24" s="11" t="inlineStr"/>
    </row>
    <row r="25" ht="14.5" customHeight="1">
      <c r="A25" s="8" t="inlineStr">
        <is>
          <t>保险(储蓄型)现价（元）</t>
        </is>
      </c>
      <c r="B25" s="90">
        <f>资产明细!G24</f>
        <v/>
      </c>
      <c r="C25" s="15" t="inlineStr"/>
      <c r="D25" s="11" t="inlineStr">
        <is>
          <t>泰康年金 ＋ 中意增额寿 ＋ 金管家万能</t>
        </is>
      </c>
    </row>
    <row r="26" ht="14.5" customHeight="1">
      <c r="A26" s="8" t="inlineStr">
        <is>
          <t>可投资资产合计（元）</t>
        </is>
      </c>
      <c r="B26" s="112">
        <f>IF(B11="是",B22+B23+B24+B25,B22+B23+B24)</f>
        <v/>
      </c>
      <c r="C26" s="15" t="inlineStr"/>
      <c r="D26" s="11" t="inlineStr">
        <is>
          <t>按「是否计入保险年金现价」开关计算</t>
        </is>
      </c>
    </row>
    <row r="27" ht="14.5" customHeight="1">
      <c r="A27" s="8" t="inlineStr">
        <is>
          <t>教育金专项（元，不计入）</t>
        </is>
      </c>
      <c r="B27" s="90">
        <f>资产明细!G27</f>
        <v/>
      </c>
      <c r="C27" s="15" t="inlineStr"/>
      <c r="D27" s="11" t="inlineStr">
        <is>
          <t>★恒泰尊享现价已指定用于女儿大学四年，不参与 FIRE</t>
        </is>
      </c>
    </row>
    <row r="28" ht="14.5" customHeight="1">
      <c r="A28" s="8" t="inlineStr">
        <is>
          <t>FIRE 进度</t>
        </is>
      </c>
      <c r="B28" s="91">
        <f>IFERROR(B26/B21,"")</f>
        <v/>
      </c>
      <c r="C28" s="15" t="inlineStr"/>
      <c r="D28" s="11" t="inlineStr">
        <is>
          <t>＝可投资资产 ÷ FIRE目标</t>
        </is>
      </c>
    </row>
    <row r="29" ht="26" customHeight="1">
      <c r="A29" s="8" t="inlineStr">
        <is>
          <t>财务自由度（现金流入覆盖率）</t>
        </is>
      </c>
      <c r="B29" s="91">
        <f>IFERROR((B26*B6+B18)/B14,"")</f>
        <v/>
      </c>
      <c r="C29" s="15" t="inlineStr"/>
      <c r="D29" s="11" t="inlineStr">
        <is>
          <t>＝(可投资资产×SWR ＋ 年金年领取额) ÷ 年支出；≥100% 即达成</t>
        </is>
      </c>
    </row>
    <row r="30" ht="14.5" customHeight="1">
      <c r="A30" s="8" t="inlineStr">
        <is>
          <t>FIRE 缺口（元）</t>
        </is>
      </c>
      <c r="B30" s="112">
        <f>MAX(B21-B26,0)</f>
        <v/>
      </c>
      <c r="C30" s="15" t="inlineStr"/>
      <c r="D30" s="11" t="inlineStr">
        <is>
          <t>＝MAX(FIRE目标－可投资资产, 0)</t>
        </is>
      </c>
    </row>
    <row r="31" ht="14.5" customHeight="1">
      <c r="A31" s="8" t="inlineStr">
        <is>
          <t>FIRE 状态</t>
        </is>
      </c>
      <c r="B31" s="20">
        <f>IF(B14=0,"待填写年支出",IF(B29&gt;=1,"已达成财务自由",IF(B29&gt;=0.7,"接近达成（现金流入覆盖70%以上）","积累中")))</f>
        <v/>
      </c>
      <c r="C31" s="15" t="inlineStr"/>
      <c r="D31" s="11" t="inlineStr">
        <is>
          <t>自动判定</t>
        </is>
      </c>
    </row>
    <row r="33" ht="20" customHeight="1">
      <c r="A33" s="3" t="inlineStr">
        <is>
          <t>三、含年金的两阶段目标（修正口径：年金作为收入流，不重复计入资产）</t>
        </is>
      </c>
    </row>
    <row r="34" ht="14.5" customHeight="1">
      <c r="A34" s="8" t="inlineStr">
        <is>
          <t>阶段1：46 → 59 岁支出现值（元）</t>
        </is>
      </c>
      <c r="B34" s="112">
        <f>IFERROR(B14*(1-(1+((1+B7)/(1+B8)-1))^-($B$16-$B$5))/(((1+B7)/(1+B8)-1)),"")</f>
        <v/>
      </c>
      <c r="C34" s="15" t="inlineStr"/>
      <c r="D34" s="11" t="inlineStr">
        <is>
          <t>无年金期间，年支出全部由资产承担</t>
        </is>
      </c>
    </row>
    <row r="35" ht="14.5" customHeight="1">
      <c r="A35" s="8" t="inlineStr">
        <is>
          <t>阶段2：60 岁起年净支出（元）</t>
        </is>
      </c>
      <c r="B35" s="112">
        <f>MAX(B14-B18,0)</f>
        <v/>
      </c>
      <c r="C35" s="15" t="inlineStr"/>
      <c r="D35" s="11" t="inlineStr">
        <is>
          <t>＝年支出 － 年金年领取额</t>
        </is>
      </c>
    </row>
    <row r="36" ht="14.5" customHeight="1">
      <c r="A36" s="8" t="inlineStr">
        <is>
          <t>阶段2所需资产（60 岁，元）</t>
        </is>
      </c>
      <c r="B36" s="112">
        <f>IF(B6=0,"",B35/B6)</f>
        <v/>
      </c>
      <c r="C36" s="15" t="inlineStr"/>
      <c r="D36" s="11" t="inlineStr">
        <is>
          <t>＝阶段2净支出 ÷ SWR</t>
        </is>
      </c>
    </row>
    <row r="37" ht="14.5" customHeight="1">
      <c r="A37" s="8" t="inlineStr">
        <is>
          <t>阶段2现值（折现至 46 岁，元）</t>
        </is>
      </c>
      <c r="B37" s="112">
        <f>IFERROR(B36/(1+((1+B7)/(1+B8)-1))^($B$16-$B$5),"")</f>
        <v/>
      </c>
      <c r="C37" s="15" t="inlineStr"/>
      <c r="D37" s="11" t="inlineStr">
        <is>
          <t>按实际收益率折现</t>
        </is>
      </c>
    </row>
    <row r="38" ht="14.5" customHeight="1">
      <c r="A38" s="8" t="inlineStr">
        <is>
          <t>含年金的所需资产合计（元）</t>
        </is>
      </c>
      <c r="B38" s="112">
        <f>IFERROR(B34+B37,"")</f>
        <v/>
      </c>
      <c r="C38" s="15" t="inlineStr"/>
      <c r="D38" s="11" t="inlineStr">
        <is>
          <t>★纳入年金后的真实目标，通常显著低于 750 万</t>
        </is>
      </c>
    </row>
    <row r="39" ht="14.5" customHeight="1">
      <c r="A39" s="8" t="inlineStr">
        <is>
          <t>年金的资产释放效应（元）</t>
        </is>
      </c>
      <c r="B39" s="112">
        <f>B21-B38</f>
        <v/>
      </c>
      <c r="C39" s="15" t="inlineStr"/>
      <c r="D39" s="11" t="inlineStr">
        <is>
          <t>＝不含年金目标 － 含年金所需资产</t>
        </is>
      </c>
    </row>
    <row r="40" ht="14.5" customHeight="1">
      <c r="A40" s="8" t="inlineStr">
        <is>
          <t>对照：含年金口径的充裕度</t>
        </is>
      </c>
      <c r="B40" s="91">
        <f>IFERROR(B26/B38,"")</f>
        <v/>
      </c>
      <c r="C40" s="15" t="inlineStr"/>
      <c r="D40" s="11" t="inlineStr">
        <is>
          <t>＝可投资资产 ÷ 含年金所需资产</t>
        </is>
      </c>
    </row>
    <row r="41" ht="20" customHeight="1">
      <c r="A41" s="3" t="inlineStr">
        <is>
          <t>四、达成时间测算</t>
        </is>
      </c>
    </row>
    <row r="42" ht="14.5" customHeight="1">
      <c r="A42" s="8" t="inlineStr">
        <is>
          <t>实际收益率 r</t>
        </is>
      </c>
      <c r="B42" s="126">
        <f>IFERROR((1+B7)/(1+B8)-1,"")</f>
        <v/>
      </c>
      <c r="C42" s="15" t="inlineStr"/>
      <c r="D42" s="11" t="inlineStr">
        <is>
          <t>＝(1+名义收益率)÷(1+通胀率)－1</t>
        </is>
      </c>
    </row>
    <row r="43" ht="14.5" customHeight="1">
      <c r="A43" s="8" t="inlineStr">
        <is>
          <t>预计所需年数</t>
        </is>
      </c>
      <c r="B43" s="127">
        <f>IF(B14=0,"",IF(B26&gt;=B21,0,IFERROR(NPER(B42,-B15,-B26,B21),99)))</f>
        <v/>
      </c>
      <c r="C43" s="15" t="inlineStr"/>
      <c r="D43" s="11" t="inlineStr">
        <is>
          <t>＝NPER(r, －年储蓄, －当前资产, FIRE目标)</t>
        </is>
      </c>
    </row>
    <row r="44" ht="14.5" customHeight="1">
      <c r="A44" s="8" t="inlineStr">
        <is>
          <t>预计达成日期</t>
        </is>
      </c>
      <c r="B44" s="128">
        <f>IF(OR(B43="",B43&gt;60),"",EDATE(TODAY(),ROUND(B43*12,0)))</f>
        <v/>
      </c>
      <c r="C44" s="15" t="inlineStr"/>
      <c r="D44" s="11" t="inlineStr">
        <is>
          <t>＝今天 + 所需年数</t>
        </is>
      </c>
    </row>
    <row r="45" ht="14.5" customHeight="1">
      <c r="A45" s="8" t="inlineStr">
        <is>
          <t>预计达成年度</t>
        </is>
      </c>
      <c r="B45" s="24">
        <f>IF(B44="","",YEAR(B44))</f>
        <v/>
      </c>
      <c r="C45" s="15" t="inlineStr"/>
      <c r="D45" s="11" t="inlineStr"/>
    </row>
    <row r="46" ht="14.5" customHeight="1">
      <c r="A46" s="8" t="inlineStr">
        <is>
          <t>预计可退出年龄</t>
        </is>
      </c>
      <c r="B46" s="25">
        <f>IF(B43="","",IF(B43=0,"已达成｜可在任意时点退出",TEXT(B5+B43,"0.0")&amp;" 岁"))</f>
        <v/>
      </c>
      <c r="C46" s="15" t="inlineStr"/>
      <c r="D46" s="11" t="inlineStr">
        <is>
          <t>已达成时显示「可在任意时点退出」</t>
        </is>
      </c>
    </row>
    <row r="48" ht="20" customHeight="1">
      <c r="A48" s="3" t="inlineStr">
        <is>
          <t>五、FIRE 分级评估</t>
        </is>
      </c>
    </row>
    <row r="49" ht="30" customHeight="1">
      <c r="A49" s="7" t="inlineStr">
        <is>
          <t>FIRE 等级</t>
        </is>
      </c>
      <c r="B49" s="7" t="inlineStr">
        <is>
          <t>目标资产(元，不含年金)</t>
        </is>
      </c>
      <c r="C49" s="7" t="inlineStr">
        <is>
          <t>含年金所需资产(元)</t>
        </is>
      </c>
      <c r="D49" s="7" t="inlineStr">
        <is>
          <t>目标倍数</t>
        </is>
      </c>
      <c r="E49" s="7" t="inlineStr">
        <is>
          <t>进度(不含年金)</t>
        </is>
      </c>
      <c r="F49" s="7" t="inlineStr">
        <is>
          <t>进度(含年金)</t>
        </is>
      </c>
      <c r="G49" s="7" t="inlineStr">
        <is>
          <t>是否达成</t>
        </is>
      </c>
    </row>
    <row r="50" ht="14.5" customHeight="1">
      <c r="A50" s="26" t="inlineStr">
        <is>
          <t>极简 FIRE（SWR 5%）</t>
        </is>
      </c>
      <c r="B50" s="103">
        <f>IF(B14=0,"",B14/0.05)</f>
        <v/>
      </c>
      <c r="C50" s="103">
        <f>IFERROR(B34+MAX(B14-B18,0)/0.05/(1+((1+B7)/(1+B8)-1))^($B$16-$B$5),"")</f>
        <v/>
      </c>
      <c r="D50" s="129">
        <f>IF(B14=0,"",B50/B14)</f>
        <v/>
      </c>
      <c r="E50" s="105">
        <f>IFERROR(B26/B50,"")</f>
        <v/>
      </c>
      <c r="F50" s="130">
        <f>IFERROR(B26/C50,"")</f>
        <v/>
      </c>
      <c r="G50" s="31">
        <f>IF(B14=0,"",IF(B26&gt;=C50,"已达成","未达成"))</f>
        <v/>
      </c>
    </row>
    <row r="51" ht="14.5" customHeight="1">
      <c r="A51" s="26" t="inlineStr">
        <is>
          <t>标准 FIRE（SWR 4%）</t>
        </is>
      </c>
      <c r="B51" s="103">
        <f>IF(B14=0,"",B14/0.04)</f>
        <v/>
      </c>
      <c r="C51" s="103">
        <f>IFERROR(B34+MAX(B14-B18,0)/0.04/(1+((1+B7)/(1+B8)-1))^($B$16-$B$5),"")</f>
        <v/>
      </c>
      <c r="D51" s="129">
        <f>IF(B14=0,"",B51/B14)</f>
        <v/>
      </c>
      <c r="E51" s="105">
        <f>IFERROR(B26/B51,"")</f>
        <v/>
      </c>
      <c r="F51" s="130">
        <f>IFERROR(B26/C51,"")</f>
        <v/>
      </c>
      <c r="G51" s="31">
        <f>IF(B14=0,"",IF(B26&gt;=C51,"已达成","未达成"))</f>
        <v/>
      </c>
    </row>
    <row r="52" ht="14.5" customHeight="1">
      <c r="A52" s="26" t="inlineStr">
        <is>
          <t>充裕 FIRE（SWR 3%）</t>
        </is>
      </c>
      <c r="B52" s="103">
        <f>IF(B14=0,"",B14/0.03)</f>
        <v/>
      </c>
      <c r="C52" s="103">
        <f>IFERROR(B34+MAX(B14-B18,0)/0.03/(1+((1+B7)/(1+B8)-1))^($B$16-$B$5),"")</f>
        <v/>
      </c>
      <c r="D52" s="129">
        <f>IF(B14=0,"",B52/B14)</f>
        <v/>
      </c>
      <c r="E52" s="105">
        <f>IFERROR(B26/B52,"")</f>
        <v/>
      </c>
      <c r="F52" s="130">
        <f>IFERROR(B26/C52,"")</f>
        <v/>
      </c>
      <c r="G52" s="31">
        <f>IF(B14=0,"",IF(B26&gt;=C52,"已达成","未达成"))</f>
        <v/>
      </c>
    </row>
    <row r="53" ht="20" customHeight="1">
      <c r="A53" s="3" t="inlineStr">
        <is>
          <t>六、逐年资产推演（46 → 99 岁，以当前购买力计，实际收益率口径，区分积累期与领取期）</t>
        </is>
      </c>
    </row>
    <row r="54" ht="30" customHeight="1">
      <c r="A54" s="7" t="inlineStr">
        <is>
          <t>年序</t>
        </is>
      </c>
      <c r="B54" s="7" t="inlineStr">
        <is>
          <t>年份</t>
        </is>
      </c>
      <c r="C54" s="7" t="inlineStr">
        <is>
          <t>年龄</t>
        </is>
      </c>
      <c r="D54" s="7" t="inlineStr">
        <is>
          <t>阶段</t>
        </is>
      </c>
      <c r="E54" s="7" t="inlineStr">
        <is>
          <t>年初资产(元)</t>
        </is>
      </c>
      <c r="F54" s="7" t="inlineStr">
        <is>
          <t>当年净现金流(元)</t>
        </is>
      </c>
      <c r="G54" s="7" t="inlineStr">
        <is>
          <t>投资收益(元)</t>
        </is>
      </c>
      <c r="H54" s="7" t="inlineStr">
        <is>
          <t>年末资产(元)</t>
        </is>
      </c>
      <c r="I54" s="7" t="inlineStr">
        <is>
          <t>是否达成 FIRE</t>
        </is>
      </c>
    </row>
    <row r="55" ht="14.5" customHeight="1">
      <c r="A55" s="32" t="n">
        <v>1</v>
      </c>
      <c r="B55" s="32">
        <f>YEAR(TODAY())+A55-1</f>
        <v/>
      </c>
      <c r="C55" s="32">
        <f>$B$5+A55</f>
        <v/>
      </c>
      <c r="D55" s="33">
        <f>IF(C55&lt;$B$16,"积累期","领取期")</f>
        <v/>
      </c>
      <c r="E55" s="103">
        <f>$B$26</f>
        <v/>
      </c>
      <c r="F55" s="131">
        <f>IF(C55&lt;$B$16,$B$15,$B$18-$B$14)</f>
        <v/>
      </c>
      <c r="G55" s="103">
        <f>E55*((1+B7)/(1+B8)-1)</f>
        <v/>
      </c>
      <c r="H55" s="103">
        <f>E55+F55+G55</f>
        <v/>
      </c>
      <c r="I55" s="33">
        <f>IF($B$21="","",IF(H55&gt;=$B$21,"已达成","未达成"))</f>
        <v/>
      </c>
    </row>
    <row r="56" ht="14.5" customHeight="1">
      <c r="A56" s="32" t="n">
        <v>2</v>
      </c>
      <c r="B56" s="32">
        <f>YEAR(TODAY())+A56-1</f>
        <v/>
      </c>
      <c r="C56" s="32">
        <f>$B$5+A56</f>
        <v/>
      </c>
      <c r="D56" s="33">
        <f>IF(C56&lt;$B$16,"积累期","领取期")</f>
        <v/>
      </c>
      <c r="E56" s="103">
        <f>H55</f>
        <v/>
      </c>
      <c r="F56" s="131">
        <f>IF(C56&lt;$B$16,$B$15,$B$18-$B$14)</f>
        <v/>
      </c>
      <c r="G56" s="103">
        <f>E56*((1+B7)/(1+B8)-1)</f>
        <v/>
      </c>
      <c r="H56" s="103">
        <f>E56+F56+G56</f>
        <v/>
      </c>
      <c r="I56" s="33">
        <f>IF($B$21="","",IF(H56&gt;=$B$21,"已达成","未达成"))</f>
        <v/>
      </c>
    </row>
    <row r="57" ht="14.5" customHeight="1">
      <c r="A57" s="32" t="n">
        <v>3</v>
      </c>
      <c r="B57" s="32">
        <f>YEAR(TODAY())+A57-1</f>
        <v/>
      </c>
      <c r="C57" s="32">
        <f>$B$5+A57</f>
        <v/>
      </c>
      <c r="D57" s="33">
        <f>IF(C57&lt;$B$16,"积累期","领取期")</f>
        <v/>
      </c>
      <c r="E57" s="103">
        <f>H56</f>
        <v/>
      </c>
      <c r="F57" s="131">
        <f>IF(C57&lt;$B$16,$B$15,$B$18-$B$14)</f>
        <v/>
      </c>
      <c r="G57" s="103">
        <f>E57*((1+B7)/(1+B8)-1)</f>
        <v/>
      </c>
      <c r="H57" s="103">
        <f>E57+F57+G57</f>
        <v/>
      </c>
      <c r="I57" s="33">
        <f>IF($B$21="","",IF(H57&gt;=$B$21,"已达成","未达成"))</f>
        <v/>
      </c>
    </row>
    <row r="58" ht="14.5" customHeight="1">
      <c r="A58" s="32" t="n">
        <v>4</v>
      </c>
      <c r="B58" s="32">
        <f>YEAR(TODAY())+A58-1</f>
        <v/>
      </c>
      <c r="C58" s="32">
        <f>$B$5+A58</f>
        <v/>
      </c>
      <c r="D58" s="33">
        <f>IF(C58&lt;$B$16,"积累期","领取期")</f>
        <v/>
      </c>
      <c r="E58" s="103">
        <f>H57</f>
        <v/>
      </c>
      <c r="F58" s="131">
        <f>IF(C58&lt;$B$16,$B$15,$B$18-$B$14)</f>
        <v/>
      </c>
      <c r="G58" s="103">
        <f>E58*((1+B7)/(1+B8)-1)</f>
        <v/>
      </c>
      <c r="H58" s="103">
        <f>E58+F58+G58</f>
        <v/>
      </c>
      <c r="I58" s="33">
        <f>IF($B$21="","",IF(H58&gt;=$B$21,"已达成","未达成"))</f>
        <v/>
      </c>
    </row>
    <row r="59" ht="14.5" customHeight="1">
      <c r="A59" s="32" t="n">
        <v>5</v>
      </c>
      <c r="B59" s="32">
        <f>YEAR(TODAY())+A59-1</f>
        <v/>
      </c>
      <c r="C59" s="32">
        <f>$B$5+A59</f>
        <v/>
      </c>
      <c r="D59" s="33">
        <f>IF(C59&lt;$B$16,"积累期","领取期")</f>
        <v/>
      </c>
      <c r="E59" s="103">
        <f>H58</f>
        <v/>
      </c>
      <c r="F59" s="131">
        <f>IF(C59&lt;$B$16,$B$15,$B$18-$B$14)</f>
        <v/>
      </c>
      <c r="G59" s="103">
        <f>E59*((1+B7)/(1+B8)-1)</f>
        <v/>
      </c>
      <c r="H59" s="103">
        <f>E59+F59+G59</f>
        <v/>
      </c>
      <c r="I59" s="33">
        <f>IF($B$21="","",IF(H59&gt;=$B$21,"已达成","未达成"))</f>
        <v/>
      </c>
    </row>
    <row r="60" ht="14.5" customHeight="1">
      <c r="A60" s="32" t="n">
        <v>6</v>
      </c>
      <c r="B60" s="32">
        <f>YEAR(TODAY())+A60-1</f>
        <v/>
      </c>
      <c r="C60" s="32">
        <f>$B$5+A60</f>
        <v/>
      </c>
      <c r="D60" s="33">
        <f>IF(C60&lt;$B$16,"积累期","领取期")</f>
        <v/>
      </c>
      <c r="E60" s="103">
        <f>H59</f>
        <v/>
      </c>
      <c r="F60" s="131">
        <f>IF(C60&lt;$B$16,$B$15,$B$18-$B$14)</f>
        <v/>
      </c>
      <c r="G60" s="103">
        <f>E60*((1+B7)/(1+B8)-1)</f>
        <v/>
      </c>
      <c r="H60" s="103">
        <f>E60+F60+G60</f>
        <v/>
      </c>
      <c r="I60" s="33">
        <f>IF($B$21="","",IF(H60&gt;=$B$21,"已达成","未达成"))</f>
        <v/>
      </c>
    </row>
    <row r="61" ht="14.5" customHeight="1">
      <c r="A61" s="32" t="n">
        <v>7</v>
      </c>
      <c r="B61" s="32">
        <f>YEAR(TODAY())+A61-1</f>
        <v/>
      </c>
      <c r="C61" s="32">
        <f>$B$5+A61</f>
        <v/>
      </c>
      <c r="D61" s="33">
        <f>IF(C61&lt;$B$16,"积累期","领取期")</f>
        <v/>
      </c>
      <c r="E61" s="103">
        <f>H60</f>
        <v/>
      </c>
      <c r="F61" s="131">
        <f>IF(C61&lt;$B$16,$B$15,$B$18-$B$14)</f>
        <v/>
      </c>
      <c r="G61" s="103">
        <f>E61*((1+B7)/(1+B8)-1)</f>
        <v/>
      </c>
      <c r="H61" s="103">
        <f>E61+F61+G61</f>
        <v/>
      </c>
      <c r="I61" s="33">
        <f>IF($B$21="","",IF(H61&gt;=$B$21,"已达成","未达成"))</f>
        <v/>
      </c>
    </row>
    <row r="62" ht="14.5" customHeight="1">
      <c r="A62" s="32" t="n">
        <v>8</v>
      </c>
      <c r="B62" s="32">
        <f>YEAR(TODAY())+A62-1</f>
        <v/>
      </c>
      <c r="C62" s="32">
        <f>$B$5+A62</f>
        <v/>
      </c>
      <c r="D62" s="33">
        <f>IF(C62&lt;$B$16,"积累期","领取期")</f>
        <v/>
      </c>
      <c r="E62" s="103">
        <f>H61</f>
        <v/>
      </c>
      <c r="F62" s="131">
        <f>IF(C62&lt;$B$16,$B$15,$B$18-$B$14)</f>
        <v/>
      </c>
      <c r="G62" s="103">
        <f>E62*((1+B7)/(1+B8)-1)</f>
        <v/>
      </c>
      <c r="H62" s="103">
        <f>E62+F62+G62</f>
        <v/>
      </c>
      <c r="I62" s="33">
        <f>IF($B$21="","",IF(H62&gt;=$B$21,"已达成","未达成"))</f>
        <v/>
      </c>
    </row>
    <row r="63" ht="14.5" customHeight="1">
      <c r="A63" s="32" t="n">
        <v>9</v>
      </c>
      <c r="B63" s="32">
        <f>YEAR(TODAY())+A63-1</f>
        <v/>
      </c>
      <c r="C63" s="32">
        <f>$B$5+A63</f>
        <v/>
      </c>
      <c r="D63" s="33">
        <f>IF(C63&lt;$B$16,"积累期","领取期")</f>
        <v/>
      </c>
      <c r="E63" s="103">
        <f>H62</f>
        <v/>
      </c>
      <c r="F63" s="131">
        <f>IF(C63&lt;$B$16,$B$15,$B$18-$B$14)</f>
        <v/>
      </c>
      <c r="G63" s="103">
        <f>E63*((1+B7)/(1+B8)-1)</f>
        <v/>
      </c>
      <c r="H63" s="103">
        <f>E63+F63+G63</f>
        <v/>
      </c>
      <c r="I63" s="33">
        <f>IF($B$21="","",IF(H63&gt;=$B$21,"已达成","未达成"))</f>
        <v/>
      </c>
    </row>
    <row r="64" ht="14.5" customHeight="1">
      <c r="A64" s="32" t="n">
        <v>10</v>
      </c>
      <c r="B64" s="32">
        <f>YEAR(TODAY())+A64-1</f>
        <v/>
      </c>
      <c r="C64" s="32">
        <f>$B$5+A64</f>
        <v/>
      </c>
      <c r="D64" s="33">
        <f>IF(C64&lt;$B$16,"积累期","领取期")</f>
        <v/>
      </c>
      <c r="E64" s="103">
        <f>H63</f>
        <v/>
      </c>
      <c r="F64" s="131">
        <f>IF(C64&lt;$B$16,$B$15,$B$18-$B$14)</f>
        <v/>
      </c>
      <c r="G64" s="103">
        <f>E64*((1+B7)/(1+B8)-1)</f>
        <v/>
      </c>
      <c r="H64" s="103">
        <f>E64+F64+G64</f>
        <v/>
      </c>
      <c r="I64" s="33">
        <f>IF($B$21="","",IF(H64&gt;=$B$21,"已达成","未达成"))</f>
        <v/>
      </c>
    </row>
    <row r="65" ht="14.5" customHeight="1">
      <c r="A65" s="32" t="n">
        <v>11</v>
      </c>
      <c r="B65" s="32">
        <f>YEAR(TODAY())+A65-1</f>
        <v/>
      </c>
      <c r="C65" s="32">
        <f>$B$5+A65</f>
        <v/>
      </c>
      <c r="D65" s="33">
        <f>IF(C65&lt;$B$16,"积累期","领取期")</f>
        <v/>
      </c>
      <c r="E65" s="103">
        <f>H64</f>
        <v/>
      </c>
      <c r="F65" s="131">
        <f>IF(C65&lt;$B$16,$B$15,$B$18-$B$14)</f>
        <v/>
      </c>
      <c r="G65" s="103">
        <f>E65*((1+B7)/(1+B8)-1)</f>
        <v/>
      </c>
      <c r="H65" s="103">
        <f>E65+F65+G65</f>
        <v/>
      </c>
      <c r="I65" s="33">
        <f>IF($B$21="","",IF(H65&gt;=$B$21,"已达成","未达成"))</f>
        <v/>
      </c>
    </row>
    <row r="66" ht="14.5" customHeight="1">
      <c r="A66" s="32" t="n">
        <v>12</v>
      </c>
      <c r="B66" s="32">
        <f>YEAR(TODAY())+A66-1</f>
        <v/>
      </c>
      <c r="C66" s="32">
        <f>$B$5+A66</f>
        <v/>
      </c>
      <c r="D66" s="33">
        <f>IF(C66&lt;$B$16,"积累期","领取期")</f>
        <v/>
      </c>
      <c r="E66" s="103">
        <f>H65</f>
        <v/>
      </c>
      <c r="F66" s="131">
        <f>IF(C66&lt;$B$16,$B$15,$B$18-$B$14)</f>
        <v/>
      </c>
      <c r="G66" s="103">
        <f>E66*((1+B7)/(1+B8)-1)</f>
        <v/>
      </c>
      <c r="H66" s="103">
        <f>E66+F66+G66</f>
        <v/>
      </c>
      <c r="I66" s="33">
        <f>IF($B$21="","",IF(H66&gt;=$B$21,"已达成","未达成"))</f>
        <v/>
      </c>
    </row>
    <row r="67" ht="14.5" customHeight="1">
      <c r="A67" s="32" t="n">
        <v>13</v>
      </c>
      <c r="B67" s="32">
        <f>YEAR(TODAY())+A67-1</f>
        <v/>
      </c>
      <c r="C67" s="32">
        <f>$B$5+A67</f>
        <v/>
      </c>
      <c r="D67" s="33">
        <f>IF(C67&lt;$B$16,"积累期","领取期")</f>
        <v/>
      </c>
      <c r="E67" s="103">
        <f>H66</f>
        <v/>
      </c>
      <c r="F67" s="131">
        <f>IF(C67&lt;$B$16,$B$15,$B$18-$B$14)</f>
        <v/>
      </c>
      <c r="G67" s="103">
        <f>E67*((1+B7)/(1+B8)-1)</f>
        <v/>
      </c>
      <c r="H67" s="103">
        <f>E67+F67+G67</f>
        <v/>
      </c>
      <c r="I67" s="33">
        <f>IF($B$21="","",IF(H67&gt;=$B$21,"已达成","未达成"))</f>
        <v/>
      </c>
    </row>
    <row r="68" ht="14.5" customHeight="1">
      <c r="A68" s="32" t="n">
        <v>14</v>
      </c>
      <c r="B68" s="32">
        <f>YEAR(TODAY())+A68-1</f>
        <v/>
      </c>
      <c r="C68" s="32">
        <f>$B$5+A68</f>
        <v/>
      </c>
      <c r="D68" s="33">
        <f>IF(C68&lt;$B$16,"积累期","领取期")</f>
        <v/>
      </c>
      <c r="E68" s="103">
        <f>H67</f>
        <v/>
      </c>
      <c r="F68" s="131">
        <f>IF(C68&lt;$B$16,$B$15,$B$18-$B$14)</f>
        <v/>
      </c>
      <c r="G68" s="103">
        <f>E68*((1+B7)/(1+B8)-1)</f>
        <v/>
      </c>
      <c r="H68" s="103">
        <f>E68+F68+G68</f>
        <v/>
      </c>
      <c r="I68" s="33">
        <f>IF($B$21="","",IF(H68&gt;=$B$21,"已达成","未达成"))</f>
        <v/>
      </c>
    </row>
    <row r="69" ht="14.5" customHeight="1">
      <c r="A69" s="32" t="n">
        <v>15</v>
      </c>
      <c r="B69" s="32">
        <f>YEAR(TODAY())+A69-1</f>
        <v/>
      </c>
      <c r="C69" s="32">
        <f>$B$5+A69</f>
        <v/>
      </c>
      <c r="D69" s="33">
        <f>IF(C69&lt;$B$16,"积累期","领取期")</f>
        <v/>
      </c>
      <c r="E69" s="103">
        <f>H68</f>
        <v/>
      </c>
      <c r="F69" s="131">
        <f>IF(C69&lt;$B$16,$B$15,$B$18-$B$14)</f>
        <v/>
      </c>
      <c r="G69" s="103">
        <f>E69*((1+B7)/(1+B8)-1)</f>
        <v/>
      </c>
      <c r="H69" s="103">
        <f>E69+F69+G69</f>
        <v/>
      </c>
      <c r="I69" s="33">
        <f>IF($B$21="","",IF(H69&gt;=$B$21,"已达成","未达成"))</f>
        <v/>
      </c>
    </row>
    <row r="70" ht="14.5" customHeight="1">
      <c r="A70" s="32" t="n">
        <v>16</v>
      </c>
      <c r="B70" s="32">
        <f>YEAR(TODAY())+A70-1</f>
        <v/>
      </c>
      <c r="C70" s="32">
        <f>$B$5+A70</f>
        <v/>
      </c>
      <c r="D70" s="33">
        <f>IF(C70&lt;$B$16,"积累期","领取期")</f>
        <v/>
      </c>
      <c r="E70" s="103">
        <f>H69</f>
        <v/>
      </c>
      <c r="F70" s="131">
        <f>IF(C70&lt;$B$16,$B$15,$B$18-$B$14)</f>
        <v/>
      </c>
      <c r="G70" s="103">
        <f>E70*((1+B7)/(1+B8)-1)</f>
        <v/>
      </c>
      <c r="H70" s="103">
        <f>E70+F70+G70</f>
        <v/>
      </c>
      <c r="I70" s="33">
        <f>IF($B$21="","",IF(H70&gt;=$B$21,"已达成","未达成"))</f>
        <v/>
      </c>
    </row>
    <row r="71" ht="14.5" customHeight="1">
      <c r="A71" s="32" t="n">
        <v>17</v>
      </c>
      <c r="B71" s="32">
        <f>YEAR(TODAY())+A71-1</f>
        <v/>
      </c>
      <c r="C71" s="32">
        <f>$B$5+A71</f>
        <v/>
      </c>
      <c r="D71" s="33">
        <f>IF(C71&lt;$B$16,"积累期","领取期")</f>
        <v/>
      </c>
      <c r="E71" s="103">
        <f>H70</f>
        <v/>
      </c>
      <c r="F71" s="131">
        <f>IF(C71&lt;$B$16,$B$15,$B$18-$B$14)</f>
        <v/>
      </c>
      <c r="G71" s="103">
        <f>E71*((1+B7)/(1+B8)-1)</f>
        <v/>
      </c>
      <c r="H71" s="103">
        <f>E71+F71+G71</f>
        <v/>
      </c>
      <c r="I71" s="33">
        <f>IF($B$21="","",IF(H71&gt;=$B$21,"已达成","未达成"))</f>
        <v/>
      </c>
    </row>
    <row r="72" ht="14.5" customHeight="1">
      <c r="A72" s="32" t="n">
        <v>18</v>
      </c>
      <c r="B72" s="32">
        <f>YEAR(TODAY())+A72-1</f>
        <v/>
      </c>
      <c r="C72" s="32">
        <f>$B$5+A72</f>
        <v/>
      </c>
      <c r="D72" s="33">
        <f>IF(C72&lt;$B$16,"积累期","领取期")</f>
        <v/>
      </c>
      <c r="E72" s="103">
        <f>H71</f>
        <v/>
      </c>
      <c r="F72" s="131">
        <f>IF(C72&lt;$B$16,$B$15,$B$18-$B$14)</f>
        <v/>
      </c>
      <c r="G72" s="103">
        <f>E72*((1+B7)/(1+B8)-1)</f>
        <v/>
      </c>
      <c r="H72" s="103">
        <f>E72+F72+G72</f>
        <v/>
      </c>
      <c r="I72" s="33">
        <f>IF($B$21="","",IF(H72&gt;=$B$21,"已达成","未达成"))</f>
        <v/>
      </c>
    </row>
    <row r="73" ht="14.5" customHeight="1">
      <c r="A73" s="32" t="n">
        <v>19</v>
      </c>
      <c r="B73" s="32">
        <f>YEAR(TODAY())+A73-1</f>
        <v/>
      </c>
      <c r="C73" s="32">
        <f>$B$5+A73</f>
        <v/>
      </c>
      <c r="D73" s="33">
        <f>IF(C73&lt;$B$16,"积累期","领取期")</f>
        <v/>
      </c>
      <c r="E73" s="103">
        <f>H72</f>
        <v/>
      </c>
      <c r="F73" s="131">
        <f>IF(C73&lt;$B$16,$B$15,$B$18-$B$14)</f>
        <v/>
      </c>
      <c r="G73" s="103">
        <f>E73*((1+B7)/(1+B8)-1)</f>
        <v/>
      </c>
      <c r="H73" s="103">
        <f>E73+F73+G73</f>
        <v/>
      </c>
      <c r="I73" s="33">
        <f>IF($B$21="","",IF(H73&gt;=$B$21,"已达成","未达成"))</f>
        <v/>
      </c>
    </row>
    <row r="74" ht="14.5" customHeight="1">
      <c r="A74" s="32" t="n">
        <v>20</v>
      </c>
      <c r="B74" s="32">
        <f>YEAR(TODAY())+A74-1</f>
        <v/>
      </c>
      <c r="C74" s="32">
        <f>$B$5+A74</f>
        <v/>
      </c>
      <c r="D74" s="33">
        <f>IF(C74&lt;$B$16,"积累期","领取期")</f>
        <v/>
      </c>
      <c r="E74" s="103">
        <f>H73</f>
        <v/>
      </c>
      <c r="F74" s="131">
        <f>IF(C74&lt;$B$16,$B$15,$B$18-$B$14)</f>
        <v/>
      </c>
      <c r="G74" s="103">
        <f>E74*((1+B7)/(1+B8)-1)</f>
        <v/>
      </c>
      <c r="H74" s="103">
        <f>E74+F74+G74</f>
        <v/>
      </c>
      <c r="I74" s="33">
        <f>IF($B$21="","",IF(H74&gt;=$B$21,"已达成","未达成"))</f>
        <v/>
      </c>
    </row>
    <row r="75" ht="14.5" customHeight="1">
      <c r="A75" s="32" t="n">
        <v>21</v>
      </c>
      <c r="B75" s="32">
        <f>YEAR(TODAY())+A75-1</f>
        <v/>
      </c>
      <c r="C75" s="32">
        <f>$B$5+A75</f>
        <v/>
      </c>
      <c r="D75" s="33">
        <f>IF(C75&lt;$B$16,"积累期","领取期")</f>
        <v/>
      </c>
      <c r="E75" s="103">
        <f>H74</f>
        <v/>
      </c>
      <c r="F75" s="131">
        <f>IF(C75&lt;$B$16,$B$15,$B$18-$B$14)</f>
        <v/>
      </c>
      <c r="G75" s="103">
        <f>E75*((1+B7)/(1+B8)-1)</f>
        <v/>
      </c>
      <c r="H75" s="103">
        <f>E75+F75+G75</f>
        <v/>
      </c>
      <c r="I75" s="33">
        <f>IF($B$21="","",IF(H75&gt;=$B$21,"已达成","未达成"))</f>
        <v/>
      </c>
    </row>
    <row r="76" ht="14.5" customHeight="1">
      <c r="A76" s="32" t="n">
        <v>22</v>
      </c>
      <c r="B76" s="32">
        <f>YEAR(TODAY())+A76-1</f>
        <v/>
      </c>
      <c r="C76" s="32">
        <f>$B$5+A76</f>
        <v/>
      </c>
      <c r="D76" s="33">
        <f>IF(C76&lt;$B$16,"积累期","领取期")</f>
        <v/>
      </c>
      <c r="E76" s="103">
        <f>H75</f>
        <v/>
      </c>
      <c r="F76" s="131">
        <f>IF(C76&lt;$B$16,$B$15,$B$18-$B$14)</f>
        <v/>
      </c>
      <c r="G76" s="103">
        <f>E76*((1+B7)/(1+B8)-1)</f>
        <v/>
      </c>
      <c r="H76" s="103">
        <f>E76+F76+G76</f>
        <v/>
      </c>
      <c r="I76" s="33">
        <f>IF($B$21="","",IF(H76&gt;=$B$21,"已达成","未达成"))</f>
        <v/>
      </c>
    </row>
    <row r="77" ht="14.5" customHeight="1">
      <c r="A77" s="32" t="n">
        <v>23</v>
      </c>
      <c r="B77" s="32">
        <f>YEAR(TODAY())+A77-1</f>
        <v/>
      </c>
      <c r="C77" s="32">
        <f>$B$5+A77</f>
        <v/>
      </c>
      <c r="D77" s="33">
        <f>IF(C77&lt;$B$16,"积累期","领取期")</f>
        <v/>
      </c>
      <c r="E77" s="103">
        <f>H76</f>
        <v/>
      </c>
      <c r="F77" s="131">
        <f>IF(C77&lt;$B$16,$B$15,$B$18-$B$14)</f>
        <v/>
      </c>
      <c r="G77" s="103">
        <f>E77*((1+B7)/(1+B8)-1)</f>
        <v/>
      </c>
      <c r="H77" s="103">
        <f>E77+F77+G77</f>
        <v/>
      </c>
      <c r="I77" s="33">
        <f>IF($B$21="","",IF(H77&gt;=$B$21,"已达成","未达成"))</f>
        <v/>
      </c>
    </row>
    <row r="78" ht="14.5" customHeight="1">
      <c r="A78" s="32" t="n">
        <v>24</v>
      </c>
      <c r="B78" s="32">
        <f>YEAR(TODAY())+A78-1</f>
        <v/>
      </c>
      <c r="C78" s="32">
        <f>$B$5+A78</f>
        <v/>
      </c>
      <c r="D78" s="33">
        <f>IF(C78&lt;$B$16,"积累期","领取期")</f>
        <v/>
      </c>
      <c r="E78" s="103">
        <f>H77</f>
        <v/>
      </c>
      <c r="F78" s="131">
        <f>IF(C78&lt;$B$16,$B$15,$B$18-$B$14)</f>
        <v/>
      </c>
      <c r="G78" s="103">
        <f>E78*((1+B7)/(1+B8)-1)</f>
        <v/>
      </c>
      <c r="H78" s="103">
        <f>E78+F78+G78</f>
        <v/>
      </c>
      <c r="I78" s="33">
        <f>IF($B$21="","",IF(H78&gt;=$B$21,"已达成","未达成"))</f>
        <v/>
      </c>
    </row>
    <row r="79" ht="14.5" customHeight="1">
      <c r="A79" s="32" t="n">
        <v>25</v>
      </c>
      <c r="B79" s="32">
        <f>YEAR(TODAY())+A79-1</f>
        <v/>
      </c>
      <c r="C79" s="32">
        <f>$B$5+A79</f>
        <v/>
      </c>
      <c r="D79" s="33">
        <f>IF(C79&lt;$B$16,"积累期","领取期")</f>
        <v/>
      </c>
      <c r="E79" s="103">
        <f>H78</f>
        <v/>
      </c>
      <c r="F79" s="131">
        <f>IF(C79&lt;$B$16,$B$15,$B$18-$B$14)</f>
        <v/>
      </c>
      <c r="G79" s="103">
        <f>E79*((1+B7)/(1+B8)-1)</f>
        <v/>
      </c>
      <c r="H79" s="103">
        <f>E79+F79+G79</f>
        <v/>
      </c>
      <c r="I79" s="33">
        <f>IF($B$21="","",IF(H79&gt;=$B$21,"已达成","未达成"))</f>
        <v/>
      </c>
    </row>
    <row r="80" ht="14.5" customHeight="1">
      <c r="A80" s="32" t="n">
        <v>26</v>
      </c>
      <c r="B80" s="32">
        <f>YEAR(TODAY())+A80-1</f>
        <v/>
      </c>
      <c r="C80" s="32">
        <f>$B$5+A80</f>
        <v/>
      </c>
      <c r="D80" s="33">
        <f>IF(C80&lt;$B$16,"积累期","领取期")</f>
        <v/>
      </c>
      <c r="E80" s="103">
        <f>H79</f>
        <v/>
      </c>
      <c r="F80" s="131">
        <f>IF(C80&lt;$B$16,$B$15,$B$18-$B$14)</f>
        <v/>
      </c>
      <c r="G80" s="103">
        <f>E80*((1+B7)/(1+B8)-1)</f>
        <v/>
      </c>
      <c r="H80" s="103">
        <f>E80+F80+G80</f>
        <v/>
      </c>
      <c r="I80" s="33">
        <f>IF($B$21="","",IF(H80&gt;=$B$21,"已达成","未达成"))</f>
        <v/>
      </c>
    </row>
    <row r="81" ht="14.5" customHeight="1">
      <c r="A81" s="32" t="n">
        <v>27</v>
      </c>
      <c r="B81" s="32">
        <f>YEAR(TODAY())+A81-1</f>
        <v/>
      </c>
      <c r="C81" s="32">
        <f>$B$5+A81</f>
        <v/>
      </c>
      <c r="D81" s="33">
        <f>IF(C81&lt;$B$16,"积累期","领取期")</f>
        <v/>
      </c>
      <c r="E81" s="103">
        <f>H80</f>
        <v/>
      </c>
      <c r="F81" s="131">
        <f>IF(C81&lt;$B$16,$B$15,$B$18-$B$14)</f>
        <v/>
      </c>
      <c r="G81" s="103">
        <f>E81*((1+B7)/(1+B8)-1)</f>
        <v/>
      </c>
      <c r="H81" s="103">
        <f>E81+F81+G81</f>
        <v/>
      </c>
      <c r="I81" s="33">
        <f>IF($B$21="","",IF(H81&gt;=$B$21,"已达成","未达成"))</f>
        <v/>
      </c>
    </row>
    <row r="82" ht="14.5" customHeight="1">
      <c r="A82" s="32" t="n">
        <v>28</v>
      </c>
      <c r="B82" s="32">
        <f>YEAR(TODAY())+A82-1</f>
        <v/>
      </c>
      <c r="C82" s="32">
        <f>$B$5+A82</f>
        <v/>
      </c>
      <c r="D82" s="33">
        <f>IF(C82&lt;$B$16,"积累期","领取期")</f>
        <v/>
      </c>
      <c r="E82" s="103">
        <f>H81</f>
        <v/>
      </c>
      <c r="F82" s="131">
        <f>IF(C82&lt;$B$16,$B$15,$B$18-$B$14)</f>
        <v/>
      </c>
      <c r="G82" s="103">
        <f>E82*((1+B7)/(1+B8)-1)</f>
        <v/>
      </c>
      <c r="H82" s="103">
        <f>E82+F82+G82</f>
        <v/>
      </c>
      <c r="I82" s="33">
        <f>IF($B$21="","",IF(H82&gt;=$B$21,"已达成","未达成"))</f>
        <v/>
      </c>
    </row>
    <row r="83" ht="14.5" customHeight="1">
      <c r="A83" s="32" t="n">
        <v>29</v>
      </c>
      <c r="B83" s="32">
        <f>YEAR(TODAY())+A83-1</f>
        <v/>
      </c>
      <c r="C83" s="32">
        <f>$B$5+A83</f>
        <v/>
      </c>
      <c r="D83" s="33">
        <f>IF(C83&lt;$B$16,"积累期","领取期")</f>
        <v/>
      </c>
      <c r="E83" s="103">
        <f>H82</f>
        <v/>
      </c>
      <c r="F83" s="131">
        <f>IF(C83&lt;$B$16,$B$15,$B$18-$B$14)</f>
        <v/>
      </c>
      <c r="G83" s="103">
        <f>E83*((1+B7)/(1+B8)-1)</f>
        <v/>
      </c>
      <c r="H83" s="103">
        <f>E83+F83+G83</f>
        <v/>
      </c>
      <c r="I83" s="33">
        <f>IF($B$21="","",IF(H83&gt;=$B$21,"已达成","未达成"))</f>
        <v/>
      </c>
    </row>
    <row r="84" ht="14.5" customHeight="1">
      <c r="A84" s="32" t="n">
        <v>30</v>
      </c>
      <c r="B84" s="32">
        <f>YEAR(TODAY())+A84-1</f>
        <v/>
      </c>
      <c r="C84" s="32">
        <f>$B$5+A84</f>
        <v/>
      </c>
      <c r="D84" s="33">
        <f>IF(C84&lt;$B$16,"积累期","领取期")</f>
        <v/>
      </c>
      <c r="E84" s="103">
        <f>H83</f>
        <v/>
      </c>
      <c r="F84" s="131">
        <f>IF(C84&lt;$B$16,$B$15,$B$18-$B$14)</f>
        <v/>
      </c>
      <c r="G84" s="103">
        <f>E84*((1+B7)/(1+B8)-1)</f>
        <v/>
      </c>
      <c r="H84" s="103">
        <f>E84+F84+G84</f>
        <v/>
      </c>
      <c r="I84" s="33">
        <f>IF($B$21="","",IF(H84&gt;=$B$21,"已达成","未达成"))</f>
        <v/>
      </c>
    </row>
    <row r="85" ht="14.5" customHeight="1">
      <c r="A85" s="32" t="n">
        <v>31</v>
      </c>
      <c r="B85" s="32">
        <f>YEAR(TODAY())+A85-1</f>
        <v/>
      </c>
      <c r="C85" s="32">
        <f>$B$5+A85</f>
        <v/>
      </c>
      <c r="D85" s="33">
        <f>IF(C85&lt;$B$16,"积累期","领取期")</f>
        <v/>
      </c>
      <c r="E85" s="103">
        <f>H84</f>
        <v/>
      </c>
      <c r="F85" s="131">
        <f>IF(C85&lt;$B$16,$B$15,$B$18-$B$14)</f>
        <v/>
      </c>
      <c r="G85" s="103">
        <f>E85*((1+B7)/(1+B8)-1)</f>
        <v/>
      </c>
      <c r="H85" s="103">
        <f>E85+F85+G85</f>
        <v/>
      </c>
      <c r="I85" s="33">
        <f>IF($B$21="","",IF(H85&gt;=$B$21,"已达成","未达成"))</f>
        <v/>
      </c>
    </row>
    <row r="86" ht="14.5" customHeight="1">
      <c r="A86" s="32" t="n">
        <v>32</v>
      </c>
      <c r="B86" s="32">
        <f>YEAR(TODAY())+A86-1</f>
        <v/>
      </c>
      <c r="C86" s="32">
        <f>$B$5+A86</f>
        <v/>
      </c>
      <c r="D86" s="33">
        <f>IF(C86&lt;$B$16,"积累期","领取期")</f>
        <v/>
      </c>
      <c r="E86" s="103">
        <f>H85</f>
        <v/>
      </c>
      <c r="F86" s="131">
        <f>IF(C86&lt;$B$16,$B$15,$B$18-$B$14)</f>
        <v/>
      </c>
      <c r="G86" s="103">
        <f>E86*((1+B7)/(1+B8)-1)</f>
        <v/>
      </c>
      <c r="H86" s="103">
        <f>E86+F86+G86</f>
        <v/>
      </c>
      <c r="I86" s="33">
        <f>IF($B$21="","",IF(H86&gt;=$B$21,"已达成","未达成"))</f>
        <v/>
      </c>
    </row>
    <row r="87" ht="14.5" customHeight="1">
      <c r="A87" s="32" t="n">
        <v>33</v>
      </c>
      <c r="B87" s="32">
        <f>YEAR(TODAY())+A87-1</f>
        <v/>
      </c>
      <c r="C87" s="32">
        <f>$B$5+A87</f>
        <v/>
      </c>
      <c r="D87" s="33">
        <f>IF(C87&lt;$B$16,"积累期","领取期")</f>
        <v/>
      </c>
      <c r="E87" s="103">
        <f>H86</f>
        <v/>
      </c>
      <c r="F87" s="131">
        <f>IF(C87&lt;$B$16,$B$15,$B$18-$B$14)</f>
        <v/>
      </c>
      <c r="G87" s="103">
        <f>E87*((1+B7)/(1+B8)-1)</f>
        <v/>
      </c>
      <c r="H87" s="103">
        <f>E87+F87+G87</f>
        <v/>
      </c>
      <c r="I87" s="33">
        <f>IF($B$21="","",IF(H87&gt;=$B$21,"已达成","未达成"))</f>
        <v/>
      </c>
    </row>
    <row r="88" ht="14.5" customHeight="1">
      <c r="A88" s="32" t="n">
        <v>34</v>
      </c>
      <c r="B88" s="32">
        <f>YEAR(TODAY())+A88-1</f>
        <v/>
      </c>
      <c r="C88" s="32">
        <f>$B$5+A88</f>
        <v/>
      </c>
      <c r="D88" s="33">
        <f>IF(C88&lt;$B$16,"积累期","领取期")</f>
        <v/>
      </c>
      <c r="E88" s="103">
        <f>H87</f>
        <v/>
      </c>
      <c r="F88" s="131">
        <f>IF(C88&lt;$B$16,$B$15,$B$18-$B$14)</f>
        <v/>
      </c>
      <c r="G88" s="103">
        <f>E88*((1+B7)/(1+B8)-1)</f>
        <v/>
      </c>
      <c r="H88" s="103">
        <f>E88+F88+G88</f>
        <v/>
      </c>
      <c r="I88" s="33">
        <f>IF($B$21="","",IF(H88&gt;=$B$21,"已达成","未达成"))</f>
        <v/>
      </c>
    </row>
    <row r="89" ht="14.5" customHeight="1">
      <c r="A89" s="32" t="n">
        <v>35</v>
      </c>
      <c r="B89" s="32">
        <f>YEAR(TODAY())+A89-1</f>
        <v/>
      </c>
      <c r="C89" s="32">
        <f>$B$5+A89</f>
        <v/>
      </c>
      <c r="D89" s="33">
        <f>IF(C89&lt;$B$16,"积累期","领取期")</f>
        <v/>
      </c>
      <c r="E89" s="103">
        <f>H88</f>
        <v/>
      </c>
      <c r="F89" s="131">
        <f>IF(C89&lt;$B$16,$B$15,$B$18-$B$14)</f>
        <v/>
      </c>
      <c r="G89" s="103">
        <f>E89*((1+B7)/(1+B8)-1)</f>
        <v/>
      </c>
      <c r="H89" s="103">
        <f>E89+F89+G89</f>
        <v/>
      </c>
      <c r="I89" s="33">
        <f>IF($B$21="","",IF(H89&gt;=$B$21,"已达成","未达成"))</f>
        <v/>
      </c>
    </row>
    <row r="90" ht="14.5" customHeight="1">
      <c r="A90" s="32" t="n">
        <v>36</v>
      </c>
      <c r="B90" s="32">
        <f>YEAR(TODAY())+A90-1</f>
        <v/>
      </c>
      <c r="C90" s="32">
        <f>$B$5+A90</f>
        <v/>
      </c>
      <c r="D90" s="33">
        <f>IF(C90&lt;$B$16,"积累期","领取期")</f>
        <v/>
      </c>
      <c r="E90" s="103">
        <f>H89</f>
        <v/>
      </c>
      <c r="F90" s="131">
        <f>IF(C90&lt;$B$16,$B$15,$B$18-$B$14)</f>
        <v/>
      </c>
      <c r="G90" s="103">
        <f>E90*((1+B7)/(1+B8)-1)</f>
        <v/>
      </c>
      <c r="H90" s="103">
        <f>E90+F90+G90</f>
        <v/>
      </c>
      <c r="I90" s="33">
        <f>IF($B$21="","",IF(H90&gt;=$B$21,"已达成","未达成"))</f>
        <v/>
      </c>
    </row>
    <row r="91" ht="14.5" customHeight="1">
      <c r="A91" s="32" t="n">
        <v>37</v>
      </c>
      <c r="B91" s="32">
        <f>YEAR(TODAY())+A91-1</f>
        <v/>
      </c>
      <c r="C91" s="32">
        <f>$B$5+A91</f>
        <v/>
      </c>
      <c r="D91" s="33">
        <f>IF(C91&lt;$B$16,"积累期","领取期")</f>
        <v/>
      </c>
      <c r="E91" s="103">
        <f>H90</f>
        <v/>
      </c>
      <c r="F91" s="131">
        <f>IF(C91&lt;$B$16,$B$15,$B$18-$B$14)</f>
        <v/>
      </c>
      <c r="G91" s="103">
        <f>E91*((1+B7)/(1+B8)-1)</f>
        <v/>
      </c>
      <c r="H91" s="103">
        <f>E91+F91+G91</f>
        <v/>
      </c>
      <c r="I91" s="33">
        <f>IF($B$21="","",IF(H91&gt;=$B$21,"已达成","未达成"))</f>
        <v/>
      </c>
    </row>
    <row r="92" ht="14.5" customHeight="1">
      <c r="A92" s="32" t="n">
        <v>38</v>
      </c>
      <c r="B92" s="32">
        <f>YEAR(TODAY())+A92-1</f>
        <v/>
      </c>
      <c r="C92" s="32">
        <f>$B$5+A92</f>
        <v/>
      </c>
      <c r="D92" s="33">
        <f>IF(C92&lt;$B$16,"积累期","领取期")</f>
        <v/>
      </c>
      <c r="E92" s="103">
        <f>H91</f>
        <v/>
      </c>
      <c r="F92" s="131">
        <f>IF(C92&lt;$B$16,$B$15,$B$18-$B$14)</f>
        <v/>
      </c>
      <c r="G92" s="103">
        <f>E92*((1+B7)/(1+B8)-1)</f>
        <v/>
      </c>
      <c r="H92" s="103">
        <f>E92+F92+G92</f>
        <v/>
      </c>
      <c r="I92" s="33">
        <f>IF($B$21="","",IF(H92&gt;=$B$21,"已达成","未达成"))</f>
        <v/>
      </c>
    </row>
    <row r="93" ht="14.5" customHeight="1">
      <c r="A93" s="32" t="n">
        <v>39</v>
      </c>
      <c r="B93" s="32">
        <f>YEAR(TODAY())+A93-1</f>
        <v/>
      </c>
      <c r="C93" s="32">
        <f>$B$5+A93</f>
        <v/>
      </c>
      <c r="D93" s="33">
        <f>IF(C93&lt;$B$16,"积累期","领取期")</f>
        <v/>
      </c>
      <c r="E93" s="103">
        <f>H92</f>
        <v/>
      </c>
      <c r="F93" s="131">
        <f>IF(C93&lt;$B$16,$B$15,$B$18-$B$14)</f>
        <v/>
      </c>
      <c r="G93" s="103">
        <f>E93*((1+B7)/(1+B8)-1)</f>
        <v/>
      </c>
      <c r="H93" s="103">
        <f>E93+F93+G93</f>
        <v/>
      </c>
      <c r="I93" s="33">
        <f>IF($B$21="","",IF(H93&gt;=$B$21,"已达成","未达成"))</f>
        <v/>
      </c>
    </row>
    <row r="94" ht="14.5" customHeight="1">
      <c r="A94" s="32" t="n">
        <v>40</v>
      </c>
      <c r="B94" s="32">
        <f>YEAR(TODAY())+A94-1</f>
        <v/>
      </c>
      <c r="C94" s="32">
        <f>$B$5+A94</f>
        <v/>
      </c>
      <c r="D94" s="33">
        <f>IF(C94&lt;$B$16,"积累期","领取期")</f>
        <v/>
      </c>
      <c r="E94" s="103">
        <f>H93</f>
        <v/>
      </c>
      <c r="F94" s="131">
        <f>IF(C94&lt;$B$16,$B$15,$B$18-$B$14)</f>
        <v/>
      </c>
      <c r="G94" s="103">
        <f>E94*((1+B7)/(1+B8)-1)</f>
        <v/>
      </c>
      <c r="H94" s="103">
        <f>E94+F94+G94</f>
        <v/>
      </c>
      <c r="I94" s="33">
        <f>IF($B$21="","",IF(H94&gt;=$B$21,"已达成","未达成"))</f>
        <v/>
      </c>
    </row>
    <row r="95" ht="14.5" customHeight="1">
      <c r="A95" s="32" t="n">
        <v>41</v>
      </c>
      <c r="B95" s="32">
        <f>YEAR(TODAY())+A95-1</f>
        <v/>
      </c>
      <c r="C95" s="32">
        <f>$B$5+A95</f>
        <v/>
      </c>
      <c r="D95" s="33">
        <f>IF(C95&lt;$B$16,"积累期","领取期")</f>
        <v/>
      </c>
      <c r="E95" s="103">
        <f>H94</f>
        <v/>
      </c>
      <c r="F95" s="131">
        <f>IF(C95&lt;$B$16,$B$15,$B$18-$B$14)</f>
        <v/>
      </c>
      <c r="G95" s="103">
        <f>E95*((1+B7)/(1+B8)-1)</f>
        <v/>
      </c>
      <c r="H95" s="103">
        <f>E95+F95+G95</f>
        <v/>
      </c>
      <c r="I95" s="33">
        <f>IF($B$21="","",IF(H95&gt;=$B$21,"已达成","未达成"))</f>
        <v/>
      </c>
    </row>
    <row r="96" ht="14.5" customHeight="1">
      <c r="A96" s="32" t="n">
        <v>42</v>
      </c>
      <c r="B96" s="32">
        <f>YEAR(TODAY())+A96-1</f>
        <v/>
      </c>
      <c r="C96" s="32">
        <f>$B$5+A96</f>
        <v/>
      </c>
      <c r="D96" s="33">
        <f>IF(C96&lt;$B$16,"积累期","领取期")</f>
        <v/>
      </c>
      <c r="E96" s="103">
        <f>H95</f>
        <v/>
      </c>
      <c r="F96" s="131">
        <f>IF(C96&lt;$B$16,$B$15,$B$18-$B$14)</f>
        <v/>
      </c>
      <c r="G96" s="103">
        <f>E96*((1+B7)/(1+B8)-1)</f>
        <v/>
      </c>
      <c r="H96" s="103">
        <f>E96+F96+G96</f>
        <v/>
      </c>
      <c r="I96" s="33">
        <f>IF($B$21="","",IF(H96&gt;=$B$21,"已达成","未达成"))</f>
        <v/>
      </c>
    </row>
    <row r="97" ht="14.5" customHeight="1">
      <c r="A97" s="32" t="n">
        <v>43</v>
      </c>
      <c r="B97" s="32">
        <f>YEAR(TODAY())+A97-1</f>
        <v/>
      </c>
      <c r="C97" s="32">
        <f>$B$5+A97</f>
        <v/>
      </c>
      <c r="D97" s="33">
        <f>IF(C97&lt;$B$16,"积累期","领取期")</f>
        <v/>
      </c>
      <c r="E97" s="103">
        <f>H96</f>
        <v/>
      </c>
      <c r="F97" s="131">
        <f>IF(C97&lt;$B$16,$B$15,$B$18-$B$14)</f>
        <v/>
      </c>
      <c r="G97" s="103">
        <f>E97*((1+B7)/(1+B8)-1)</f>
        <v/>
      </c>
      <c r="H97" s="103">
        <f>E97+F97+G97</f>
        <v/>
      </c>
      <c r="I97" s="33">
        <f>IF($B$21="","",IF(H97&gt;=$B$21,"已达成","未达成"))</f>
        <v/>
      </c>
    </row>
    <row r="98" ht="14.5" customHeight="1">
      <c r="A98" s="32" t="n">
        <v>44</v>
      </c>
      <c r="B98" s="32">
        <f>YEAR(TODAY())+A98-1</f>
        <v/>
      </c>
      <c r="C98" s="32">
        <f>$B$5+A98</f>
        <v/>
      </c>
      <c r="D98" s="33">
        <f>IF(C98&lt;$B$16,"积累期","领取期")</f>
        <v/>
      </c>
      <c r="E98" s="103">
        <f>H97</f>
        <v/>
      </c>
      <c r="F98" s="131">
        <f>IF(C98&lt;$B$16,$B$15,$B$18-$B$14)</f>
        <v/>
      </c>
      <c r="G98" s="103">
        <f>E98*((1+B7)/(1+B8)-1)</f>
        <v/>
      </c>
      <c r="H98" s="103">
        <f>E98+F98+G98</f>
        <v/>
      </c>
      <c r="I98" s="33">
        <f>IF($B$21="","",IF(H98&gt;=$B$21,"已达成","未达成"))</f>
        <v/>
      </c>
    </row>
    <row r="99" ht="14.5" customHeight="1">
      <c r="A99" s="32" t="n">
        <v>45</v>
      </c>
      <c r="B99" s="32">
        <f>YEAR(TODAY())+A99-1</f>
        <v/>
      </c>
      <c r="C99" s="32">
        <f>$B$5+A99</f>
        <v/>
      </c>
      <c r="D99" s="33">
        <f>IF(C99&lt;$B$16,"积累期","领取期")</f>
        <v/>
      </c>
      <c r="E99" s="103">
        <f>H98</f>
        <v/>
      </c>
      <c r="F99" s="131">
        <f>IF(C99&lt;$B$16,$B$15,$B$18-$B$14)</f>
        <v/>
      </c>
      <c r="G99" s="103">
        <f>E99*((1+B7)/(1+B8)-1)</f>
        <v/>
      </c>
      <c r="H99" s="103">
        <f>E99+F99+G99</f>
        <v/>
      </c>
      <c r="I99" s="33">
        <f>IF($B$21="","",IF(H99&gt;=$B$21,"已达成","未达成"))</f>
        <v/>
      </c>
    </row>
    <row r="100" ht="14.5" customHeight="1">
      <c r="A100" s="32" t="n">
        <v>46</v>
      </c>
      <c r="B100" s="32">
        <f>YEAR(TODAY())+A100-1</f>
        <v/>
      </c>
      <c r="C100" s="32">
        <f>$B$5+A100</f>
        <v/>
      </c>
      <c r="D100" s="33">
        <f>IF(C100&lt;$B$16,"积累期","领取期")</f>
        <v/>
      </c>
      <c r="E100" s="103">
        <f>H99</f>
        <v/>
      </c>
      <c r="F100" s="131">
        <f>IF(C100&lt;$B$16,$B$15,$B$18-$B$14)</f>
        <v/>
      </c>
      <c r="G100" s="103">
        <f>E100*((1+B7)/(1+B8)-1)</f>
        <v/>
      </c>
      <c r="H100" s="103">
        <f>E100+F100+G100</f>
        <v/>
      </c>
      <c r="I100" s="33">
        <f>IF($B$21="","",IF(H100&gt;=$B$21,"已达成","未达成"))</f>
        <v/>
      </c>
    </row>
    <row r="101" ht="14.5" customHeight="1">
      <c r="A101" s="32" t="n">
        <v>47</v>
      </c>
      <c r="B101" s="32">
        <f>YEAR(TODAY())+A101-1</f>
        <v/>
      </c>
      <c r="C101" s="32">
        <f>$B$5+A101</f>
        <v/>
      </c>
      <c r="D101" s="33">
        <f>IF(C101&lt;$B$16,"积累期","领取期")</f>
        <v/>
      </c>
      <c r="E101" s="103">
        <f>H100</f>
        <v/>
      </c>
      <c r="F101" s="131">
        <f>IF(C101&lt;$B$16,$B$15,$B$18-$B$14)</f>
        <v/>
      </c>
      <c r="G101" s="103">
        <f>E101*((1+B7)/(1+B8)-1)</f>
        <v/>
      </c>
      <c r="H101" s="103">
        <f>E101+F101+G101</f>
        <v/>
      </c>
      <c r="I101" s="33">
        <f>IF($B$21="","",IF(H101&gt;=$B$21,"已达成","未达成"))</f>
        <v/>
      </c>
    </row>
    <row r="102" ht="14.5" customHeight="1">
      <c r="A102" s="32" t="n">
        <v>48</v>
      </c>
      <c r="B102" s="32">
        <f>YEAR(TODAY())+A102-1</f>
        <v/>
      </c>
      <c r="C102" s="32">
        <f>$B$5+A102</f>
        <v/>
      </c>
      <c r="D102" s="33">
        <f>IF(C102&lt;$B$16,"积累期","领取期")</f>
        <v/>
      </c>
      <c r="E102" s="103">
        <f>H101</f>
        <v/>
      </c>
      <c r="F102" s="131">
        <f>IF(C102&lt;$B$16,$B$15,$B$18-$B$14)</f>
        <v/>
      </c>
      <c r="G102" s="103">
        <f>E102*((1+B7)/(1+B8)-1)</f>
        <v/>
      </c>
      <c r="H102" s="103">
        <f>E102+F102+G102</f>
        <v/>
      </c>
      <c r="I102" s="33">
        <f>IF($B$21="","",IF(H102&gt;=$B$21,"已达成","未达成"))</f>
        <v/>
      </c>
    </row>
    <row r="103" ht="14.5" customHeight="1">
      <c r="A103" s="32" t="n">
        <v>49</v>
      </c>
      <c r="B103" s="32">
        <f>YEAR(TODAY())+A103-1</f>
        <v/>
      </c>
      <c r="C103" s="32">
        <f>$B$5+A103</f>
        <v/>
      </c>
      <c r="D103" s="33">
        <f>IF(C103&lt;$B$16,"积累期","领取期")</f>
        <v/>
      </c>
      <c r="E103" s="103">
        <f>H102</f>
        <v/>
      </c>
      <c r="F103" s="131">
        <f>IF(C103&lt;$B$16,$B$15,$B$18-$B$14)</f>
        <v/>
      </c>
      <c r="G103" s="103">
        <f>E103*((1+B7)/(1+B8)-1)</f>
        <v/>
      </c>
      <c r="H103" s="103">
        <f>E103+F103+G103</f>
        <v/>
      </c>
      <c r="I103" s="33">
        <f>IF($B$21="","",IF(H103&gt;=$B$21,"已达成","未达成"))</f>
        <v/>
      </c>
    </row>
    <row r="104" ht="14.5" customHeight="1">
      <c r="A104" s="32" t="n">
        <v>50</v>
      </c>
      <c r="B104" s="32">
        <f>YEAR(TODAY())+A104-1</f>
        <v/>
      </c>
      <c r="C104" s="32">
        <f>$B$5+A104</f>
        <v/>
      </c>
      <c r="D104" s="33">
        <f>IF(C104&lt;$B$16,"积累期","领取期")</f>
        <v/>
      </c>
      <c r="E104" s="103">
        <f>H103</f>
        <v/>
      </c>
      <c r="F104" s="131">
        <f>IF(C104&lt;$B$16,$B$15,$B$18-$B$14)</f>
        <v/>
      </c>
      <c r="G104" s="103">
        <f>E104*((1+B7)/(1+B8)-1)</f>
        <v/>
      </c>
      <c r="H104" s="103">
        <f>E104+F104+G104</f>
        <v/>
      </c>
      <c r="I104" s="33">
        <f>IF($B$21="","",IF(H104&gt;=$B$21,"已达成","未达成"))</f>
        <v/>
      </c>
    </row>
    <row r="105" ht="14.5" customHeight="1">
      <c r="A105" s="32" t="n">
        <v>51</v>
      </c>
      <c r="B105" s="32">
        <f>YEAR(TODAY())+A105-1</f>
        <v/>
      </c>
      <c r="C105" s="32">
        <f>$B$5+A105</f>
        <v/>
      </c>
      <c r="D105" s="33">
        <f>IF(C105&lt;$B$16,"积累期","领取期")</f>
        <v/>
      </c>
      <c r="E105" s="103">
        <f>H104</f>
        <v/>
      </c>
      <c r="F105" s="131">
        <f>IF(C105&lt;$B$16,$B$15,$B$18-$B$14)</f>
        <v/>
      </c>
      <c r="G105" s="103">
        <f>E105*((1+B7)/(1+B8)-1)</f>
        <v/>
      </c>
      <c r="H105" s="103">
        <f>E105+F105+G105</f>
        <v/>
      </c>
      <c r="I105" s="33">
        <f>IF($B$21="","",IF(H105&gt;=$B$21,"已达成","未达成"))</f>
        <v/>
      </c>
    </row>
    <row r="106" ht="14.5" customHeight="1">
      <c r="A106" s="32" t="n">
        <v>52</v>
      </c>
      <c r="B106" s="32">
        <f>YEAR(TODAY())+A106-1</f>
        <v/>
      </c>
      <c r="C106" s="32">
        <f>$B$5+A106</f>
        <v/>
      </c>
      <c r="D106" s="33">
        <f>IF(C106&lt;$B$16,"积累期","领取期")</f>
        <v/>
      </c>
      <c r="E106" s="103">
        <f>H105</f>
        <v/>
      </c>
      <c r="F106" s="131">
        <f>IF(C106&lt;$B$16,$B$15,$B$18-$B$14)</f>
        <v/>
      </c>
      <c r="G106" s="103">
        <f>E106*((1+B7)/(1+B8)-1)</f>
        <v/>
      </c>
      <c r="H106" s="103">
        <f>E106+F106+G106</f>
        <v/>
      </c>
      <c r="I106" s="33">
        <f>IF($B$21="","",IF(H106&gt;=$B$21,"已达成","未达成"))</f>
        <v/>
      </c>
    </row>
    <row r="107" ht="14.5" customHeight="1">
      <c r="A107" s="32" t="n">
        <v>53</v>
      </c>
      <c r="B107" s="32">
        <f>YEAR(TODAY())+A107-1</f>
        <v/>
      </c>
      <c r="C107" s="32">
        <f>$B$5+A107</f>
        <v/>
      </c>
      <c r="D107" s="33">
        <f>IF(C107&lt;$B$16,"积累期","领取期")</f>
        <v/>
      </c>
      <c r="E107" s="103">
        <f>H106</f>
        <v/>
      </c>
      <c r="F107" s="131">
        <f>IF(C107&lt;$B$16,$B$15,$B$18-$B$14)</f>
        <v/>
      </c>
      <c r="G107" s="103">
        <f>E107*((1+B7)/(1+B8)-1)</f>
        <v/>
      </c>
      <c r="H107" s="103">
        <f>E107+F107+G107</f>
        <v/>
      </c>
      <c r="I107" s="33">
        <f>IF($B$21="","",IF(H107&gt;=$B$21,"已达成","未达成"))</f>
        <v/>
      </c>
    </row>
    <row r="108" ht="14.5" customHeight="1">
      <c r="A108" s="32" t="n">
        <v>54</v>
      </c>
      <c r="B108" s="32">
        <f>YEAR(TODAY())+A108-1</f>
        <v/>
      </c>
      <c r="C108" s="32">
        <f>$B$5+A108</f>
        <v/>
      </c>
      <c r="D108" s="33">
        <f>IF(C108&lt;$B$16,"积累期","领取期")</f>
        <v/>
      </c>
      <c r="E108" s="103">
        <f>H107</f>
        <v/>
      </c>
      <c r="F108" s="131">
        <f>IF(C108&lt;$B$16,$B$15,$B$18-$B$14)</f>
        <v/>
      </c>
      <c r="G108" s="103">
        <f>E108*((1+B7)/(1+B8)-1)</f>
        <v/>
      </c>
      <c r="H108" s="103">
        <f>E108+F108+G108</f>
        <v/>
      </c>
      <c r="I108" s="33">
        <f>IF($B$21="","",IF(H108&gt;=$B$21,"已达成","未达成"))</f>
        <v/>
      </c>
    </row>
  </sheetData>
  <mergeCells count="8">
    <mergeCell ref="A48:H48"/>
    <mergeCell ref="A3:H3"/>
    <mergeCell ref="A53:H53"/>
    <mergeCell ref="A20:H20"/>
    <mergeCell ref="A2:H2"/>
    <mergeCell ref="A41:H41"/>
    <mergeCell ref="A33:H33"/>
    <mergeCell ref="A1:H1"/>
  </mergeCells>
  <dataValidations count="1">
    <dataValidation sqref="B11 B16:B17 B19" showDropDown="0" showInputMessage="0" showErrorMessage="0" allowBlank="0" type="list">
      <formula1>"是,否"</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FF808080"/>
    <outlinePr summaryBelow="1" summaryRight="1"/>
    <pageSetUpPr/>
  </sheetPr>
  <dimension ref="A1:C45"/>
  <sheetViews>
    <sheetView workbookViewId="0">
      <selection activeCell="C7" sqref="C7"/>
    </sheetView>
  </sheetViews>
  <sheetFormatPr baseColWidth="8" defaultColWidth="9" defaultRowHeight="14"/>
  <cols>
    <col width="4" customWidth="1" min="1" max="1"/>
    <col width="22" customWidth="1" min="2" max="2"/>
    <col width="100" customWidth="1" min="3" max="3"/>
  </cols>
  <sheetData>
    <row r="1" ht="26" customHeight="1">
      <c r="A1" s="1" t="inlineStr">
        <is>
          <t>使用说明与口径定义</t>
        </is>
      </c>
    </row>
    <row r="2" ht="16" customHeight="1">
      <c r="A2" s="2" t="inlineStr">
        <is>
          <t>版本：2026-09 生成</t>
        </is>
      </c>
    </row>
    <row r="3" ht="20" customHeight="1">
      <c r="A3" s="3" t="inlineStr">
        <is>
          <t>一、工作表说明</t>
        </is>
      </c>
    </row>
    <row r="4" ht="17" customHeight="1">
      <c r="A4" s="4" t="inlineStr"/>
      <c r="B4" s="5" t="inlineStr">
        <is>
          <t>总览看板</t>
        </is>
      </c>
      <c r="C4" s="6" t="inlineStr">
        <is>
          <t>自动汇总的驾驶舱：资产总览、FIRE 进度、达成时间、投资收益概览。无需手工修改。</t>
        </is>
      </c>
    </row>
    <row r="5" ht="17" customHeight="1">
      <c r="A5" s="4" t="inlineStr"/>
      <c r="B5" s="5" t="inlineStr">
        <is>
          <t>资产明细</t>
        </is>
      </c>
      <c r="C5" s="6" t="inlineStr">
        <is>
          <t>所有非房产资产的分类台账。保险按【现金价值】口径分「储蓄型」「教育金专项」两组。蓝色字体为手工输入项。</t>
        </is>
      </c>
    </row>
    <row r="6" ht="17" customHeight="1">
      <c r="A6" s="4" t="inlineStr"/>
      <c r="B6" s="5" t="inlineStr">
        <is>
          <t>保险权益与现金流</t>
        </is>
      </c>
      <c r="C6" s="6" t="inlineStr">
        <is>
          <t>4 张保单台账、按年龄的现金价值与年金现金流、保障缺口分析、IRR 测算、保单可用资金工具对比。</t>
        </is>
      </c>
    </row>
    <row r="7" ht="17" customHeight="1">
      <c r="A7" s="4" t="inlineStr"/>
      <c r="B7" s="5" t="inlineStr">
        <is>
          <t>教育金规划</t>
        </is>
      </c>
      <c r="C7" s="6" t="inlineStr">
        <is>
          <t>以「恒泰尊享 3.0」现价为来源，按条款 11.2 的 20%/年 减保上限，逐年推演女儿 18–22 岁大学四年可取现金额。</t>
        </is>
      </c>
    </row>
    <row r="8" ht="17" customHeight="1">
      <c r="A8" s="4" t="inlineStr"/>
      <c r="B8" s="5" t="inlineStr">
        <is>
          <t>收支记账</t>
        </is>
      </c>
      <c r="C8" s="6" t="inlineStr">
        <is>
          <t>月度/年度收支汇总，自动从小表「收支流水」汇总，无需手工填写数字。</t>
        </is>
      </c>
    </row>
    <row r="9" ht="17" customHeight="1">
      <c r="A9" s="4" t="inlineStr"/>
      <c r="B9" s="5" t="inlineStr">
        <is>
          <t>收支流水</t>
        </is>
      </c>
      <c r="C9" s="6" t="inlineStr">
        <is>
          <t>逐笔登记收支的流水表。只需填写「日期／类型／类别／金额」四列。</t>
        </is>
      </c>
    </row>
    <row r="10" ht="17" customHeight="1">
      <c r="A10" s="4" t="inlineStr"/>
      <c r="B10" s="5" t="inlineStr">
        <is>
          <t>月度净值跟踪</t>
        </is>
      </c>
      <c r="C10" s="6" t="inlineStr">
        <is>
          <t>每月月末登记一次各类资产金额，观察净资产曲线与 FIRE 进度变化；教育金专项单列备查。</t>
        </is>
      </c>
    </row>
    <row r="11" ht="17" customHeight="1">
      <c r="A11" s="4" t="inlineStr"/>
      <c r="B11" s="5" t="inlineStr">
        <is>
          <t>FIRE测算</t>
        </is>
      </c>
      <c r="C11" s="6" t="inlineStr">
        <is>
          <t>FIRE 参数、目标、进度、达成时间、分级评估，含年金的两阶段目标，以及 46→99 岁逐年推演。</t>
        </is>
      </c>
    </row>
    <row r="12" ht="20" customHeight="1">
      <c r="A12" s="3" t="inlineStr">
        <is>
          <t>二、维护频率（建议）</t>
        </is>
      </c>
    </row>
    <row r="13" ht="17" customHeight="1">
      <c r="A13" s="4" t="inlineStr"/>
      <c r="B13" s="5" t="inlineStr">
        <is>
          <t>每月一次</t>
        </is>
      </c>
      <c r="C13" s="6" t="inlineStr">
        <is>
          <t>① 收支流水补录当月收支；② 月度净值跟踪填写当月各分类金额。</t>
        </is>
      </c>
    </row>
    <row r="14" ht="17" customHeight="1">
      <c r="A14" s="4" t="inlineStr"/>
      <c r="B14" s="5" t="inlineStr">
        <is>
          <t>每季度一次</t>
        </is>
      </c>
      <c r="C14" s="6" t="inlineStr">
        <is>
          <t>资产明细中更新股价、汇率、银行余额、基金净值。</t>
        </is>
      </c>
    </row>
    <row r="15" ht="17" customHeight="1">
      <c r="A15" s="4" t="inlineStr"/>
      <c r="B15" s="5" t="inlineStr">
        <is>
          <t>每半年一次</t>
        </is>
      </c>
      <c r="C15" s="6" t="inlineStr">
        <is>
          <t>复核 FIRE 参数：年支出、年储蓄、预期收益率、安全提款率。</t>
        </is>
      </c>
    </row>
    <row r="16" ht="20" customHeight="1">
      <c r="A16" s="3" t="inlineStr">
        <is>
          <t>三、FIRE 计算逻辑</t>
        </is>
      </c>
    </row>
    <row r="17" ht="17" customHeight="1">
      <c r="A17" s="4" t="inlineStr"/>
      <c r="B17" s="5" t="inlineStr">
        <is>
          <t>FIRE 目标资产</t>
        </is>
      </c>
      <c r="C17" s="6" t="inlineStr">
        <is>
          <t>＝ 采用年支出 ÷ 安全提款率(SWR)。默认 SWR＝4%，即 25 倍年支出（4% 法则）。</t>
        </is>
      </c>
    </row>
    <row r="18" ht="17" customHeight="1">
      <c r="A18" s="4" t="inlineStr"/>
      <c r="B18" s="5" t="inlineStr">
        <is>
          <t>可投资资产</t>
        </is>
      </c>
      <c r="C18" s="6" t="inlineStr">
        <is>
          <t>＝ 现金及存款 ＋ 股票及证券 ＋ 基金及理财（默认不含保险；教育金专项永不参与）。年金是否计入由「是否计入保险年金现价」开关控制。</t>
        </is>
      </c>
    </row>
    <row r="19" ht="17" customHeight="1">
      <c r="A19" s="4" t="inlineStr"/>
      <c r="B19" s="5" t="inlineStr">
        <is>
          <t>财务自由度</t>
        </is>
      </c>
      <c r="C19" s="6" t="inlineStr">
        <is>
          <t>＝(可投资资产 × SWR ＋ 年金年领取额) ÷ 年支出。达 100% 即「现金流入口径」可覆盖全部支出。</t>
        </is>
      </c>
    </row>
    <row r="20" ht="17" customHeight="1">
      <c r="A20" s="4" t="inlineStr"/>
      <c r="B20" s="5" t="inlineStr">
        <is>
          <t>达成时间</t>
        </is>
      </c>
      <c r="C20" s="6" t="inlineStr">
        <is>
          <t>＝ NPER(实际收益率, －年储蓄, －当前可投资资产, FIRE目标)。实际收益率＝(1+名义收益率)÷(1+通胀率)－1。</t>
        </is>
      </c>
    </row>
    <row r="21" ht="17" customHeight="1">
      <c r="A21" s="4" t="inlineStr"/>
      <c r="B21" s="5" t="inlineStr">
        <is>
          <t>分级评估</t>
        </is>
      </c>
      <c r="C21" s="6" t="inlineStr">
        <is>
          <t>极简 FIRE＝年支出×20（SWR 5%）；标准 FIRE＝×25（SWR 4%）；充裕 FIRE＝×33.3（SWR 3%）；并给出「含年金」口径的所需资产。</t>
        </is>
      </c>
    </row>
    <row r="22" ht="17" customHeight="1">
      <c r="A22" s="4" t="inlineStr"/>
      <c r="B22" s="5" t="inlineStr">
        <is>
          <t>两阶段目标</t>
        </is>
      </c>
      <c r="C22" s="6" t="inlineStr">
        <is>
          <t>★年金是合同确定的现金流，性质等同债券，按年 177,990 元、自 60 岁起，用实际收益率折现，而非用 SWR 资本化。资产口径与现金流入口径须分开看。</t>
        </is>
      </c>
    </row>
    <row r="23" ht="20" customHeight="1">
      <c r="A23" s="3" t="inlineStr">
        <is>
          <t>四、年支出／年储蓄的取值口径</t>
        </is>
      </c>
    </row>
    <row r="24" ht="17" customHeight="1">
      <c r="A24" s="4" t="inlineStr"/>
      <c r="B24" s="5" t="inlineStr">
        <is>
          <t>优先</t>
        </is>
      </c>
      <c r="C24" s="6" t="inlineStr">
        <is>
          <t>取自「收支记账」的滚动统计：按有记录的月份数取月均，再乘 12 折算为年化值。</t>
        </is>
      </c>
    </row>
    <row r="25" ht="17" customHeight="1">
      <c r="A25" s="4" t="inlineStr"/>
      <c r="B25" s="5" t="inlineStr">
        <is>
          <t>兜底</t>
        </is>
      </c>
      <c r="C25" s="6" t="inlineStr">
        <is>
          <t>若「收支流水」尚无数据，则采用 FIRE测算 中的「手动年支出估算／手动年储蓄估算」（默认 30万／40万，请按实际修改）。</t>
        </is>
      </c>
    </row>
    <row r="26" ht="20" customHeight="1">
      <c r="A26" s="3" t="inlineStr">
        <is>
          <t>五、本次建表的数据口径与假设（请核对）</t>
        </is>
      </c>
    </row>
    <row r="27" ht="17" customHeight="1">
      <c r="A27" s="4" t="inlineStr"/>
      <c r="B27" s="5" t="inlineStr">
        <is>
          <t>现金</t>
        </is>
      </c>
      <c r="C27" s="6" t="inlineStr">
        <is>
          <t>招商银行 131 万、工商银行 24.3 万，合计 155.3 万。</t>
        </is>
      </c>
    </row>
    <row r="28" ht="17" customHeight="1">
      <c r="A28" s="4" t="inlineStr"/>
      <c r="B28" s="5" t="inlineStr">
        <is>
          <t>阿里巴巴持股</t>
        </is>
      </c>
      <c r="C28" s="6" t="inlineStr">
        <is>
          <t>港股通 6,400 股（含在中信证券账户内）＋ H股 4,004 股（3164＋840）＋ 美股 ADR 2,177 股。汇率默认 HKD 0.92、USD 7.15。</t>
        </is>
      </c>
    </row>
    <row r="29" ht="17" customHeight="1">
      <c r="A29" s="4" t="inlineStr"/>
      <c r="B29" s="5" t="inlineStr">
        <is>
          <t>阿里股价</t>
        </is>
      </c>
      <c r="C29" s="6" t="inlineStr">
        <is>
          <t>已按 2026-09-15 市价更新：港股 107.20 HKD／美股 109.51 USD（请按最新价维护，勿再用占位值）。</t>
        </is>
      </c>
    </row>
    <row r="30" ht="17" customHeight="1">
      <c r="A30" s="4" t="inlineStr"/>
      <c r="B30" s="5" t="inlineStr">
        <is>
          <t>阿里成本</t>
        </is>
      </c>
      <c r="C30" s="6" t="inlineStr">
        <is>
          <t>港股通 6,400 股成本 147 HKD；九毛九成本 11.68 HKD；RSU 来源（H股 4,004 股＋美股 2,177 股）系公司授予，无自购成本，暂不计盈亏。</t>
        </is>
      </c>
    </row>
    <row r="31" ht="17" customHeight="1">
      <c r="A31" s="4" t="inlineStr"/>
      <c r="B31" s="5" t="inlineStr">
        <is>
          <t>中信证券账户</t>
        </is>
      </c>
      <c r="C31" s="6" t="inlineStr">
        <is>
          <t>★中信账户 322 万市值内含阿里港股通 6,400 股与九毛九 63,000 股，二者已在资产明细单列，账户按净额列示（避免重复计算）。</t>
        </is>
      </c>
    </row>
    <row r="32" ht="17" customHeight="1">
      <c r="A32" s="4" t="inlineStr"/>
      <c r="B32" s="5" t="inlineStr">
        <is>
          <t>高毅晓峰基金</t>
        </is>
      </c>
      <c r="C32" s="6" t="inlineStr">
        <is>
          <t>本金 100 万，2021-06 买入，当前市值 151 万（浮盈 51 万）。</t>
        </is>
      </c>
    </row>
    <row r="33" ht="17" customHeight="1">
      <c r="A33" s="4" t="inlineStr"/>
      <c r="B33" s="5" t="inlineStr">
        <is>
          <t>泰康赢家人生</t>
        </is>
      </c>
      <c r="C33" s="6" t="inlineStr">
        <is>
          <t>投连险，本金 80 万，2020-12 买入，当前市值 84.4 万（浮盈 4.4 万）。</t>
        </is>
      </c>
    </row>
    <row r="34" ht="17" customHeight="1">
      <c r="A34" s="4" t="inlineStr"/>
      <c r="B34" s="5" t="inlineStr">
        <is>
          <t>保险估值口径</t>
        </is>
      </c>
      <c r="C34" s="6" t="inlineStr">
        <is>
          <t>★全部保险统一按【保单现金价值】计入，不再按累计已交保费口径（旧版口径会高估资产、掩盖退保损失）。</t>
        </is>
      </c>
    </row>
    <row r="35" ht="17" customHeight="1">
      <c r="A35" s="4" t="inlineStr"/>
      <c r="B35" s="5" t="inlineStr">
        <is>
          <t>泰康乐享百岁</t>
        </is>
      </c>
      <c r="C35" s="6" t="inlineStr">
        <is>
          <t>养老年金，累计保费 301.25 万，现价 186.25 万（60 岁前）；60 岁起月领 1.5 万／年领 17.799 万，保证给付 25 年，60 岁后身故金为 0，现价至 84 岁归零。</t>
        </is>
      </c>
    </row>
    <row r="36" ht="17" customHeight="1">
      <c r="A36" s="4" t="inlineStr"/>
      <c r="B36" s="5" t="inlineStr">
        <is>
          <t>中意一生中意</t>
        </is>
      </c>
      <c r="C36" s="6" t="inlineStr">
        <is>
          <t>增额终身寿（分红），累计保费 4 万，现价 3.56 万；★受益人为「法定受益人」，建议改为指定受益人。</t>
        </is>
      </c>
    </row>
    <row r="37" ht="17" customHeight="1">
      <c r="A37" s="4" t="inlineStr"/>
      <c r="B37" s="5" t="inlineStr">
        <is>
          <t>陆家嘴国泰恒泰尊享3.0</t>
        </is>
      </c>
      <c r="C37" s="6" t="inlineStr">
        <is>
          <t>★教育金专项：累计保费 200 万，现价 160.06 万；用于女儿 18–22 岁大学四年，不参与 FIRE，单列看板。</t>
        </is>
      </c>
    </row>
    <row r="38" ht="17" customHeight="1">
      <c r="A38" s="4" t="inlineStr"/>
      <c r="B38" s="5" t="inlineStr">
        <is>
          <t>陆家嘴国泰金管家2.0</t>
        </is>
      </c>
      <c r="C38" s="6" t="inlineStr">
        <is>
          <t>万能险，趸交 1,000 元，现价 1,000 元；金额极小，仅作账户载体。</t>
        </is>
      </c>
    </row>
    <row r="39" ht="17" customHeight="1">
      <c r="A39" s="4" t="inlineStr"/>
      <c r="B39" s="5" t="inlineStr">
        <is>
          <t>房产</t>
        </is>
      </c>
      <c r="C39" s="6" t="inlineStr">
        <is>
          <t>已纳入：自用「深圳城市山林」估值 1,000 万（抵押贷款 200 万计入负债区）；投资性房地产 3 套（深圳恒大之光 180 万／固安泊心园 85 万／空港领航城 50 万，合计 315 万），计划尽快出售，已单列「投资性房地产（待售）」口径。房产均为非流动性资产，不计入 FIRE 可投资资产。</t>
        </is>
      </c>
    </row>
    <row r="40" ht="17" customHeight="1">
      <c r="A40" s="4" t="inlineStr"/>
      <c r="B40" s="5" t="inlineStr">
        <is>
          <t>负债</t>
        </is>
      </c>
      <c r="C40" s="6" t="inlineStr">
        <is>
          <t>负债：深圳城市山林抵押贷款余额约 200 万，已填入「资产明细」负债区；请按实际剩余贷款额定期更新。</t>
        </is>
      </c>
    </row>
    <row r="41" ht="20" customHeight="1">
      <c r="A41" s="3" t="inlineStr">
        <is>
          <t>六、注意事项</t>
        </is>
      </c>
    </row>
    <row r="42" ht="17" customHeight="1">
      <c r="A42" s="4" t="inlineStr"/>
      <c r="B42" s="5" t="inlineStr">
        <is>
          <t>公式保护</t>
        </is>
      </c>
      <c r="C42" s="6" t="inlineStr">
        <is>
          <t>除蓝色字体单元格外，请勿直接覆盖黑色公式单元格，否则汇总会出错。</t>
        </is>
      </c>
    </row>
    <row r="43" ht="17" customHeight="1">
      <c r="A43" s="4" t="inlineStr"/>
      <c r="B43" s="5" t="inlineStr">
        <is>
          <t>定义名称</t>
        </is>
      </c>
      <c r="C43" s="6" t="inlineStr">
        <is>
          <t>「FIRE目标」「FIRE年支出」为工作簿定义名称，指向 FIRE测算 的参数单元格；调整参数行不会导致看板/净值表引用错位。</t>
        </is>
      </c>
    </row>
    <row r="44" ht="17" customHeight="1">
      <c r="A44" s="4" t="inlineStr"/>
      <c r="B44" s="5" t="inlineStr">
        <is>
          <t>教育金刚性</t>
        </is>
      </c>
      <c r="C44" s="6" t="inlineStr">
        <is>
          <t>教育金专项与风险保障是刚性支出，不应计入 FIRE 可投资资产；「财务自由度」与「FIRE 进度」是两个不同口径，请勿混用。</t>
        </is>
      </c>
    </row>
    <row r="45" ht="17" customHeight="1">
      <c r="A45" s="4" t="inlineStr"/>
      <c r="B45" s="5" t="inlineStr">
        <is>
          <t>免责声明</t>
        </is>
      </c>
      <c r="C45" s="6" t="inlineStr">
        <is>
          <t>本表为个人财务规划工具，收益率、通胀率、SWR 均为假设值，不构成任何投资建议。</t>
        </is>
      </c>
    </row>
  </sheetData>
  <mergeCells count="8">
    <mergeCell ref="A41:C41"/>
    <mergeCell ref="A1:C1"/>
    <mergeCell ref="A23:C23"/>
    <mergeCell ref="A16:C16"/>
    <mergeCell ref="A3:C3"/>
    <mergeCell ref="A12:C12"/>
    <mergeCell ref="A26:C26"/>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2026-09-13T08:27:00Z</dcterms:created>
  <dcterms:modified xmlns:dcterms="http://purl.org/dc/terms/" xmlns:xsi="http://www.w3.org/2001/XMLSchema-instance" xsi:type="dcterms:W3CDTF">2026-09-15T15:01:11Z</dcterms:modified>
  <cp:lastModifiedBy>Anson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1DDD81F0AB0440EC9404DF435E8E212A_12</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