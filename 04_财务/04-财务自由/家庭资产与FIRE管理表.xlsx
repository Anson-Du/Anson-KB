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04-财务自由\"/>
    </mc:Choice>
  </mc:AlternateContent>
  <bookViews>
    <workbookView windowWidth="19200" windowHeight="8080" activeTab="1"/>
  </bookViews>
  <sheets>
    <sheet name="总览看板" sheetId="1" r:id="rId1"/>
    <sheet name="资产明细" sheetId="2" r:id="rId2"/>
    <sheet name="保险权益与现金流" sheetId="3" r:id="rId3"/>
    <sheet name="教育金规划" sheetId="4" r:id="rId4"/>
    <sheet name="收支记账" sheetId="5" r:id="rId5"/>
    <sheet name="收支流水" sheetId="6" r:id="rId6"/>
    <sheet name="月度净值跟踪" sheetId="7" r:id="rId7"/>
    <sheet name="FIRE测算" sheetId="8" r:id="rId8"/>
    <sheet name="使用说明" sheetId="9" r:id="rId9"/>
  </sheets>
  <definedNames>
    <definedName name="FIRE目标">FIRE测算!$B$21</definedName>
    <definedName name="FIRE年支出">FIRE测算!$B$14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<sst xmlns="http://schemas.openxmlformats.org/spreadsheetml/2006/main" count="815" uniqueCount="515">
  <si>
    <t>家庭资产与 FIRE 管理看板</t>
  </si>
  <si>
    <t>数据截至 2026-09-30 ｜ 金额单位：人民币元 ｜ 蓝色＝手工输入 ｜ 绿色＝跨表引用 ｜ 黑色＝公式计算</t>
  </si>
  <si>
    <t>一、资产总览</t>
  </si>
  <si>
    <t>资产类别</t>
  </si>
  <si>
    <t>金额(元)</t>
  </si>
  <si>
    <t>占总资产</t>
  </si>
  <si>
    <t>现金及存款</t>
  </si>
  <si>
    <t>股票及证券</t>
  </si>
  <si>
    <t>基金及理财</t>
  </si>
  <si>
    <t>保险（储蓄型）</t>
  </si>
  <si>
    <t>教育金专项（恒泰尊享）</t>
  </si>
  <si>
    <t>资产合计</t>
  </si>
  <si>
    <t>负债合计</t>
  </si>
  <si>
    <t/>
  </si>
  <si>
    <t>净资产</t>
  </si>
  <si>
    <t>其中：可投资资产（不含保险）</t>
  </si>
  <si>
    <t>其中：可立即变现资产（估算）</t>
  </si>
  <si>
    <t>保险立即退保损失</t>
  </si>
  <si>
    <t>二、FIRE 财务自由进度</t>
  </si>
  <si>
    <t>指标</t>
  </si>
  <si>
    <t>数值</t>
  </si>
  <si>
    <t>说明</t>
  </si>
  <si>
    <t>年支出（元）</t>
  </si>
  <si>
    <t>取自「FIRE测算」</t>
  </si>
  <si>
    <t>安全提款率 SWR</t>
  </si>
  <si>
    <t>默认 4%</t>
  </si>
  <si>
    <t>FIRE 目标资产（元）</t>
  </si>
  <si>
    <t>＝年支出 ÷ SWR</t>
  </si>
  <si>
    <t>当前可投资资产（元）</t>
  </si>
  <si>
    <t>现金＋股票＋基金（年金按开关）</t>
  </si>
  <si>
    <t>财务自由度（被动收入覆盖率）</t>
  </si>
  <si>
    <t>被动收入 ÷ 年支出</t>
  </si>
  <si>
    <t>FIRE 缺口（元）</t>
  </si>
  <si>
    <t>预计达成所需年数</t>
  </si>
  <si>
    <t>预计达成日期</t>
  </si>
  <si>
    <t>预计退休年龄</t>
  </si>
  <si>
    <t>FIRE 状态</t>
  </si>
  <si>
    <t>三、投资收益概览</t>
  </si>
  <si>
    <t>总投入成本／本金（元）</t>
  </si>
  <si>
    <t>已填写成本的项目合计</t>
  </si>
  <si>
    <t>当前总市值（元）</t>
  </si>
  <si>
    <t>含全部持仓</t>
  </si>
  <si>
    <t>累计盈亏（元）</t>
  </si>
  <si>
    <t>仅统计已填写成本的项目；阿里持仓成本待补充</t>
  </si>
  <si>
    <t>累计收益率</t>
  </si>
  <si>
    <t>＝累计盈亏 ÷ 已填成本</t>
  </si>
  <si>
    <t>本表为自动计算看板，所有明细维护请在「资产明细」「收支流水」中进行。</t>
  </si>
  <si>
    <t>家庭资产明细表</t>
  </si>
  <si>
    <t>口径：人民币元；蓝色字体＝需手工维护的输入项；黑色＝公式自动计算；黄色底＝重点核对/需要补充</t>
  </si>
  <si>
    <t>资产大类</t>
  </si>
  <si>
    <t>账户／产品</t>
  </si>
  <si>
    <t>持有数量／份额</t>
  </si>
  <si>
    <t>单价／单位金额</t>
  </si>
  <si>
    <t>币种</t>
  </si>
  <si>
    <t>汇率(→CNY)</t>
  </si>
  <si>
    <t>市值(元)</t>
  </si>
  <si>
    <t>成本／本金(元)</t>
  </si>
  <si>
    <t>盈亏(元)</t>
  </si>
  <si>
    <t>盈亏率</t>
  </si>
  <si>
    <t>占比</t>
  </si>
  <si>
    <t>流动性</t>
  </si>
  <si>
    <t>备注</t>
  </si>
  <si>
    <t>招商银行</t>
  </si>
  <si>
    <t>CNY</t>
  </si>
  <si>
    <t>高</t>
  </si>
  <si>
    <t>活期＋存款，按最新余额更新</t>
  </si>
  <si>
    <t>工商银行</t>
  </si>
  <si>
    <t>现金及存款 小计</t>
  </si>
  <si>
    <t>阿里巴巴-W（09988.HK）</t>
  </si>
  <si>
    <t>HKD</t>
  </si>
  <si>
    <t>港股：3164＋840＝4004 股；单价需按最新股价更新</t>
  </si>
  <si>
    <t>阿里巴巴（BABA.US）</t>
  </si>
  <si>
    <t>USD</t>
  </si>
  <si>
    <t>美股 2177 股；单价需按最新股价更新</t>
  </si>
  <si>
    <t>中信证券账户（持仓市值）</t>
  </si>
  <si>
    <t>当前市值322万，累计亏损58.4万，推算成本约380.4万</t>
  </si>
  <si>
    <t>股票及证券 小计</t>
  </si>
  <si>
    <t>高毅晓峰基金（私募）</t>
  </si>
  <si>
    <t>中</t>
  </si>
  <si>
    <t>2021-06 买入，本金100万</t>
  </si>
  <si>
    <t>泰康赢家人生（投连险）</t>
  </si>
  <si>
    <t>2020-12 买入，本金80万</t>
  </si>
  <si>
    <t>基金及理财 小计</t>
  </si>
  <si>
    <t>保险(储蓄型)</t>
  </si>
  <si>
    <t>中意一生中意（尊享版）终身寿险</t>
  </si>
  <si>
    <t>低</t>
  </si>
  <si>
    <t>被保人=杜岩松；2024-10投保；现价为保单年度末值。⚠️受益人为「法定受益人」，建议改为指定受益人</t>
  </si>
  <si>
    <t>泰康乐享百岁养老年金保险</t>
  </si>
  <si>
    <t>被保人=杜岩松；60岁起月领1.5万／年领177,990元，保证给付25年；60岁后身故金为0；现价自60岁起递减至84岁归零</t>
  </si>
  <si>
    <t>陆家嘴国泰金管家2.0（万能型）</t>
  </si>
  <si>
    <t>被保人=杜汐姮；趸交1000元；最低保证利率2%。★若另有「泰康乐赢1号」万能账户请在此行补充金额</t>
  </si>
  <si>
    <t>保险(储蓄型) 小计</t>
  </si>
  <si>
    <t>保险(教育金专项)</t>
  </si>
  <si>
    <t>陆家嘴国泰恒泰尊享3.0版</t>
  </si>
  <si>
    <t>★教育金专项：用于女儿18-22岁大学四年；被保人=杜汐姮／投保人(现价归属人)=杜岩松；每年减保≤保单年度初基本保额的20%(条款11.2)；有效保额3%/年递增</t>
  </si>
  <si>
    <t>保险(教育金专项) 小计</t>
  </si>
  <si>
    <t>占总资产100%；盈亏仅含已填写成本的项目（阿里持仓成本待补充）</t>
  </si>
  <si>
    <t>负债</t>
  </si>
  <si>
    <t>住房贷款余额</t>
  </si>
  <si>
    <t>如有负债请填写余额（正数）</t>
  </si>
  <si>
    <t>其他负债</t>
  </si>
  <si>
    <t>＝资产合计－负债合计</t>
  </si>
  <si>
    <t>辅助指标（口径提示，供 FIRE 测算与看板引用）</t>
  </si>
  <si>
    <t>可投资资产（不含任何保险）</t>
  </si>
  <si>
    <t>现金＋股票＋基金，是 FIRE 的核心口径</t>
  </si>
  <si>
    <t>可立即变现资产（估算）</t>
  </si>
  <si>
    <t>现金100%＋公开股票95%＋私募/投连80%＋储蓄型保单现价80%（保单贷款上限）</t>
  </si>
  <si>
    <t>教育金专项（恒泰尊享现价）</t>
  </si>
  <si>
    <t>★已指定用途（女儿大学四年），不计入 FIRE 可投资资产</t>
  </si>
  <si>
    <t>＝现价－累计已交保费；反映保险资产的锁定成本，不是投资亏损</t>
  </si>
  <si>
    <t>公开股票集中度</t>
  </si>
  <si>
    <t>★单一权益敞口占比，超过 60% 需关注集中度风险</t>
  </si>
  <si>
    <t>现金可覆盖年数</t>
  </si>
  <si>
    <t>＝现金及存款 ÷ 年支出（年支出为定义名称，取自「FIRE测算」）</t>
  </si>
  <si>
    <t>人寿保险权益与现金流分析表</t>
  </si>
  <si>
    <t>数据来源：明亚保险经纪《杜岩松家庭保障分析报告》2026-09-13 ＋ 三份保险条款 ｜ 金额单位：人民币元 ｜ 蓝色＝手工输入</t>
  </si>
  <si>
    <t>一、保单台账（4 张保单）</t>
  </si>
  <si>
    <t>序号</t>
  </si>
  <si>
    <t>被保人</t>
  </si>
  <si>
    <t>投保人／现价归属人</t>
  </si>
  <si>
    <t>保险公司</t>
  </si>
  <si>
    <t>产品名称</t>
  </si>
  <si>
    <t>险种</t>
  </si>
  <si>
    <t>保单号</t>
  </si>
  <si>
    <t>生效日</t>
  </si>
  <si>
    <t>基本保额</t>
  </si>
  <si>
    <t>累计已交保费</t>
  </si>
  <si>
    <t>当前现金价值</t>
  </si>
  <si>
    <t>身故受益人</t>
  </si>
  <si>
    <t>保值/领取要点</t>
  </si>
  <si>
    <t>关键条款与风险提示</t>
  </si>
  <si>
    <t>杜岩松</t>
  </si>
  <si>
    <t>中意人寿</t>
  </si>
  <si>
    <t>增额终身寿(分红)</t>
  </si>
  <si>
    <t>88123297</t>
  </si>
  <si>
    <t>2024-10-31</t>
  </si>
  <si>
    <t>⚠️法定受益人</t>
  </si>
  <si>
    <t>有效保额 2%/年 递增</t>
  </si>
  <si>
    <t>① 受益人为「法定受益人」，建议改为【指定受益人】，避免理赔纠纷与债务隐患；② 分红不保证；③ 含年金转换权；④ 保证现价 CAGR 仅约 1.9%</t>
  </si>
  <si>
    <t>泰康人寿</t>
  </si>
  <si>
    <t>泰康乐享百岁养老年金保险（分红型）</t>
  </si>
  <si>
    <t>养老年金</t>
  </si>
  <si>
    <t>19162486</t>
  </si>
  <si>
    <t>2023-12-14</t>
  </si>
  <si>
    <t>杜汐姮 100%</t>
  </si>
  <si>
    <t>60岁起月领 15,000 元</t>
  </si>
  <si>
    <t>① 年领＝基本保额×11.866＝177,990 元/年；② 保证给付期 25 个保单年度（60→84岁），期内身故一次性补付未领余额（不计息）；③ ★60岁（首个领取日）之后身故，身故保险金＝0；④ 现价自 60 岁起递减，84 岁归零；⑤ 保单贷款上限＝现价×80%，单次≤180天；⑥ 生存金受益人默认投保人本人</t>
  </si>
  <si>
    <t>杜汐姮</t>
  </si>
  <si>
    <t>陆家嘴国泰人寿</t>
  </si>
  <si>
    <t>陆家嘴国泰恒泰尊享（3.0版）终身寿险</t>
  </si>
  <si>
    <t>增额终身寿</t>
  </si>
  <si>
    <t>G11000462820</t>
  </si>
  <si>
    <t>2023-12-27</t>
  </si>
  <si>
    <t>杜岩松 100%</t>
  </si>
  <si>
    <t>有效保额 3%/年 递增</t>
  </si>
  <si>
    <t>★【教育金专项】用于女儿 18-22 岁大学四年。① 条款 11.2：每年累计减少的基本保险金额之和不得超过申请时所在保单年度初基本保险金额的 20% ← 取现能力硬约束；② 身故比例 18-40岁160%／41-60岁140%／61岁+120%；③ 含水陆客运交通意外身故金（基本保额×50%，18岁后前20个保单年度且70岁前）；④ 第二投保人权益（§9）★建议现在设置，否则投保人身故时现价按遗产处理；⑤ 借款上限＝现价×80%，单次≤6个月；⑥ 满60周岁且生效满10周年可转换为年金</t>
  </si>
  <si>
    <t>陆家嘴国泰金管家2.0终身寿险（万能型）</t>
  </si>
  <si>
    <t>万能险</t>
  </si>
  <si>
    <t>G11000462835</t>
  </si>
  <si>
    <t>最低保证利率 2%</t>
  </si>
  <si>
    <t>① 趸交 1,000 元，金额极小，主要作为账户载体；② 等待期 180 天；③ ★若家庭另持「泰康乐赢1号终身寿险（万能型）」，请在「资产明细」单列一行，不要与之合并</t>
  </si>
  <si>
    <t>二、现金价值与年金现金流（按年龄，现价为保单年度末值）</t>
  </si>
  <si>
    <t>年龄</t>
  </si>
  <si>
    <t>年份</t>
  </si>
  <si>
    <t>中意·现价</t>
  </si>
  <si>
    <t>泰康·现价</t>
  </si>
  <si>
    <t>恒泰尊享·现价</t>
  </si>
  <si>
    <t>现价合计</t>
  </si>
  <si>
    <t>泰康年金年领取</t>
  </si>
  <si>
    <t>泰康年金累计领取</t>
  </si>
  <si>
    <t>年金+现价</t>
  </si>
  <si>
    <t>2026-09 基准；保险现价合计 349.97 万（对账用）</t>
  </si>
  <si>
    <t>女儿 18 岁入学</t>
  </si>
  <si>
    <t>女儿 21 岁，大学最后一年</t>
  </si>
  <si>
    <t>退休前最后一年；泰康现价达峰 307.8 万</t>
  </si>
  <si>
    <t>★年金开始领取；泰康现价断崖下降</t>
  </si>
  <si>
    <t>三、保障缺口分析（来源：明亚《杜岩松家庭保障分析报告》2026-09-13）</t>
  </si>
  <si>
    <t>成员</t>
  </si>
  <si>
    <t>保障类型</t>
  </si>
  <si>
    <t>已有保障(元)</t>
  </si>
  <si>
    <t>建议保障(元)</t>
  </si>
  <si>
    <t>缺口(元)</t>
  </si>
  <si>
    <t>优先级</t>
  </si>
  <si>
    <t>杜岩松（46岁）</t>
  </si>
  <si>
    <t>重大疾病</t>
  </si>
  <si>
    <t>P0</t>
  </si>
  <si>
    <t>重疾保额严重缺失，一旦发生将直接侵蚀 FIRE 资产</t>
  </si>
  <si>
    <t>医疗保险</t>
  </si>
  <si>
    <t>P1</t>
  </si>
  <si>
    <t>无任何商业医疗，大额医疗费用需完全自付</t>
  </si>
  <si>
    <t>寿险(身故)</t>
  </si>
  <si>
    <t>缺口 332.68 万；身故情景下 FIRE 进度将由约 135% 降至约 91%</t>
  </si>
  <si>
    <t>意外险</t>
  </si>
  <si>
    <t>无意外保障</t>
  </si>
  <si>
    <t>已有年金 17.8 万/年，距建议 26 万/年缺 8.2 万/年（元/年口径）</t>
  </si>
  <si>
    <t>杜汐姮（16岁）</t>
  </si>
  <si>
    <t>未成年人重疾保障缺失</t>
  </si>
  <si>
    <t>无商业医疗</t>
  </si>
  <si>
    <t>关键结论</t>
  </si>
  <si>
    <t>★家庭「损失性风险保障」的年度保费为 0 元——把 500 万全部投向储蓄型保险，却未为疾病、医疗、意外、身故配置任何保障型险种。报告建议损失性风险保障的年度保费支出占家庭年收入的 10%–20%。资产充裕不等于风险免疫：财务自由的最大威胁不是收益率不够，而是一次未投保的重大风险。</t>
  </si>
  <si>
    <t>四、保单收益测算（IRR 与年金现值）</t>
  </si>
  <si>
    <t>保单</t>
  </si>
  <si>
    <t>测算口径</t>
  </si>
  <si>
    <t>对应金额</t>
  </si>
  <si>
    <t>IRR(年化)</t>
  </si>
  <si>
    <t>结论提示</t>
  </si>
  <si>
    <t>泰康乐享百岁</t>
  </si>
  <si>
    <t>仅保证给付 25 年（60→84岁，25 笔）</t>
  </si>
  <si>
    <t>★确定性下限仅 1.42%，低于同期长期国债——这是一份「长寿保险」，不是高收益投资</t>
  </si>
  <si>
    <t>领取至 106 岁（47 笔）</t>
  </si>
  <si>
    <t>需活到高龄才能实现，年化约 2.84%</t>
  </si>
  <si>
    <t>恒泰尊享 3.0</t>
  </si>
  <si>
    <t>持有至 85 岁（现价 6,537,113）</t>
  </si>
  <si>
    <t>★宣传的「保额 3% 递增」是身故赔付基数的增速，不是现金价值增速</t>
  </si>
  <si>
    <t>持有至 105 岁（现价 11,806,646）</t>
  </si>
  <si>
    <t>首年现价仅为保费的 60.8%，回本需至第 5 个保单年度（2028-12）</t>
  </si>
  <si>
    <t>中意一生中意</t>
  </si>
  <si>
    <t>持有至 105 岁（现价 110,147）</t>
  </si>
  <si>
    <t>★保证现价部分 IRR 仅 1.67%，产品价值高度依赖不保证的分红</t>
  </si>
  <si>
    <t>年金现值口径</t>
  </si>
  <si>
    <t>年金是合同确定的现金流，性质等同债券，应按长期无风险利率贴现，而非用权益类的 SWR 资本化：贴现率 2.0% → 现值 4,167,193 元；2.5% → 3,546,535 元；3.0% → 3,033,058 元；4.0% → 2,249,410 元。若用 SWR 4% 资本化（4,449,750 元）会高估约 25%–47%。</t>
  </si>
  <si>
    <t>五、保单可用的资金工具对比（应急或用款时按此优先级）</t>
  </si>
  <si>
    <t>工具</t>
  </si>
  <si>
    <t>适用保单</t>
  </si>
  <si>
    <t>可得金额上限</t>
  </si>
  <si>
    <t>成本／代价</t>
  </si>
  <si>
    <t>到账速度</t>
  </si>
  <si>
    <t>适用场景</t>
  </si>
  <si>
    <t>减保取现</t>
  </si>
  <si>
    <t>每年 ≤ 当年度初基本保额的 20%（约 20% 现价）</t>
  </si>
  <si>
    <t>按比例减少保额与保障，无额外费用</t>
  </si>
  <si>
    <t>3–7 个工作日</t>
  </si>
  <si>
    <t>★教育金专用；受条款 11.2 年度上限约束</t>
  </si>
  <si>
    <t>保单贷款</t>
  </si>
  <si>
    <t>恒泰尊享／泰康年金／金管家</t>
  </si>
  <si>
    <t>现价 × 80%</t>
  </si>
  <si>
    <t>需付贷款利息；泰康单次≤180天，恒泰单次≤6个月</t>
  </si>
  <si>
    <t>1–3 个工作日</t>
  </si>
  <si>
    <t>短期资金周转；注意利息成本与续借</t>
  </si>
  <si>
    <t>按比例减少基本保额，领取对应现价</t>
  </si>
  <si>
    <t>直接减少未来年金领取额</t>
  </si>
  <si>
    <t>不建议——会削减退休现金流</t>
  </si>
  <si>
    <t>部分领取/退保</t>
  </si>
  <si>
    <t>金管家 2.0（万能）</t>
  </si>
  <si>
    <t>账户价值</t>
  </si>
  <si>
    <t>按条款的领取/退保费用</t>
  </si>
  <si>
    <t>金额极小，无实际意义</t>
  </si>
  <si>
    <t>全额退保</t>
  </si>
  <si>
    <t>任意保单</t>
  </si>
  <si>
    <t>全部现金价值</t>
  </si>
  <si>
    <t>★立即退保损失 155.38 万（−30.7%）；泰康单张 −38.2%</t>
  </si>
  <si>
    <t>仅在极端情况下考虑</t>
  </si>
  <si>
    <t>教育金专项规划（陆家嘴国泰恒泰尊享 3.0）</t>
  </si>
  <si>
    <t>用途：保障女儿 Elysia 大学四年费用 ｜ 硬约束：条款 11.2 每年减保 ≤ 保单年度初基本保额的 20% ｜ 蓝色＝手工输入</t>
  </si>
  <si>
    <t>一、规划参数</t>
  </si>
  <si>
    <t>女儿当前年龄</t>
  </si>
  <si>
    <t>手工输入</t>
  </si>
  <si>
    <t>预计入学年龄</t>
  </si>
  <si>
    <t>大学年数（取现年数）</t>
  </si>
  <si>
    <t>每年需求金额（元）</t>
  </si>
  <si>
    <t>★请按实际规划填写（国内约 3–8 万/年；海外约 30–60 万/年）</t>
  </si>
  <si>
    <t>保单基本保险金额（元）</t>
  </si>
  <si>
    <t>取自保单：1,916,479.81 元</t>
  </si>
  <si>
    <t>当前现金价值（元）</t>
  </si>
  <si>
    <t>2026-12 保单年度末值</t>
  </si>
  <si>
    <t>每年减保上限（比例）</t>
  </si>
  <si>
    <t>条款 11.2：不得超过当年度初基本保险金额的 20%</t>
  </si>
  <si>
    <t>入学年份</t>
  </si>
  <si>
    <t>＝2026 ＋ 入学年龄 − 当前年龄</t>
  </si>
  <si>
    <t>二、逐年取现推演（在 20%/年 减保上限下，计算每年可提取金额）</t>
  </si>
  <si>
    <t>当年需求(元)</t>
  </si>
  <si>
    <t>不减保时现价(元)</t>
  </si>
  <si>
    <t>当年可取现(元)</t>
  </si>
  <si>
    <t>累计取现(元)</t>
  </si>
  <si>
    <t>减保后剩余保额比例</t>
  </si>
  <si>
    <t>当年末剩余现价(元)</t>
  </si>
  <si>
    <t>满足度</t>
  </si>
  <si>
    <t>提示</t>
  </si>
  <si>
    <t>三、汇总与结论</t>
  </si>
  <si>
    <t>大学期间总需求（元）</t>
  </si>
  <si>
    <t>保单可覆盖金额（元）</t>
  </si>
  <si>
    <t>资金缺口（＋）／盈余（－）（元）</t>
  </si>
  <si>
    <t>覆盖率</t>
  </si>
  <si>
    <t>四年后仍保留保额比例</t>
  </si>
  <si>
    <t>四年后仍保留现价（元）</t>
  </si>
  <si>
    <t>① 现行「每年减保 ≤ 20% 基本保额」是可提取金额的硬约束：四年最多约 131 万元（按现行现价测算）。</t>
  </si>
  <si>
    <t>② 若四年需求 ≤ 131 万元（约 32.7 万元/年以内），保单可全额覆盖，且四年后仍保留约 41% 保额与约 98 万元现价。</t>
  </si>
  <si>
    <t>③ 若为海外留学（约 30–60 万元/年），四年需求 120–240 万元，将接近或超过上限——需提前 1–2 年（女儿 16–17 岁）就开始减保，或延长取现至第 5–6 年。</t>
  </si>
  <si>
    <t>④ 备选工具：① 保单贷款（现价×80%，单次≤6 个月）；② 其他资产（现金 155 万、高毅晓峰 151 万）；③ 不建议对泰康年金减保，会直接削减退休现金流。</t>
  </si>
  <si>
    <t>⑤ 本保单被保人是女儿、投保人（现价归属人）是杜岩松。★建议立即在条款 §9 设置「第二投保人」，否则投保人身故时现价将进入遗产处理，产生不必要的纠纷与费用。</t>
  </si>
  <si>
    <t>⑥ 本表「当年可取现」已按条款上限计算；若实际需要超过上限，请在「提示」列查看缺口，并在参数区调整取现年数或年需求。</t>
  </si>
  <si>
    <t>月度收支记账表</t>
  </si>
  <si>
    <t>金额单位：人民币元；月度行自动汇总自「收支流水」；蓝色字体＝手工输入</t>
  </si>
  <si>
    <t>一、月度收支汇总（自动汇总）</t>
  </si>
  <si>
    <t>月份</t>
  </si>
  <si>
    <t>工资收入</t>
  </si>
  <si>
    <t>投资收益</t>
  </si>
  <si>
    <t>其他收入</t>
  </si>
  <si>
    <t>收入合计</t>
  </si>
  <si>
    <t>生活支出</t>
  </si>
  <si>
    <t>房贷/租金</t>
  </si>
  <si>
    <t>教育支出</t>
  </si>
  <si>
    <t>保险支出</t>
  </si>
  <si>
    <t>其他支出</t>
  </si>
  <si>
    <t>支出合计</t>
  </si>
  <si>
    <t>当月结余</t>
  </si>
  <si>
    <t>储蓄率</t>
  </si>
  <si>
    <t>累计结余</t>
  </si>
  <si>
    <t>二、年度汇总</t>
  </si>
  <si>
    <t>年度</t>
  </si>
  <si>
    <t>年结余</t>
  </si>
  <si>
    <t>2026</t>
  </si>
  <si>
    <t>2027</t>
  </si>
  <si>
    <t>2028</t>
  </si>
  <si>
    <t>三、滚动统计（供 FIRE 测算自动取值）</t>
  </si>
  <si>
    <t>有记录月份数(月)</t>
  </si>
  <si>
    <t>月均支出(元)</t>
  </si>
  <si>
    <t>年化支出(元)</t>
  </si>
  <si>
    <t>月均收入(元)</t>
  </si>
  <si>
    <t>年化收入(元)</t>
  </si>
  <si>
    <t>年化储蓄(元)</t>
  </si>
  <si>
    <t>收支流水登记表</t>
  </si>
  <si>
    <t>在下方逐笔登记；「类型」「类别」请使用下拉选择，填好后上方「收支记账」会自动汇总</t>
  </si>
  <si>
    <t>日期</t>
  </si>
  <si>
    <t>类型</t>
  </si>
  <si>
    <t>类别</t>
  </si>
  <si>
    <t>项目说明</t>
  </si>
  <si>
    <t>月度净资产跟踪表</t>
  </si>
  <si>
    <t>每月月末更新一次即可；2026-09 行已自动链接「资产明细」，后续月份请手工填写各分类金额；FIRE目标 通过定义名称引用，参数区增删行不会导致引用错位</t>
  </si>
  <si>
    <t>总资产</t>
  </si>
  <si>
    <t>总负债</t>
  </si>
  <si>
    <t>环比增减</t>
  </si>
  <si>
    <t>环比%</t>
  </si>
  <si>
    <t>FIRE进度</t>
  </si>
  <si>
    <t>教育金专项(备查)</t>
  </si>
  <si>
    <t>「FIRE进度」＝(现金＋股票＋基金)÷ FIRE目标。FIRE目标 为定义名称，指向「FIRE测算」的目标资产单元格，因此新增/删除参数行不会导致引用错位。教育金专项（恒泰尊享现价）单列备查，不计入 FIRE 进度。</t>
  </si>
  <si>
    <t>FIRE 财务自由测算</t>
  </si>
  <si>
    <t>FIRE＝Financial Independence, Retire Early；以「年支出÷安全提款率」为目标资产，动态判断达成时间</t>
  </si>
  <si>
    <t>一、核心参数与假设</t>
  </si>
  <si>
    <t>参数</t>
  </si>
  <si>
    <t>单位</t>
  </si>
  <si>
    <t>当前年龄</t>
  </si>
  <si>
    <t>岁</t>
  </si>
  <si>
    <t>手工输入（黄色＝重点假设）</t>
  </si>
  <si>
    <t>%</t>
  </si>
  <si>
    <t>4% 法则：年支出÷4%＝所需资产（25倍年支出）</t>
  </si>
  <si>
    <t>预期投资年化收益率（名义）</t>
  </si>
  <si>
    <t>股/基/现金组合的长期期望收益，请按自身风险偏好调整</t>
  </si>
  <si>
    <t>预期通胀率</t>
  </si>
  <si>
    <t>用于换算实际收益率</t>
  </si>
  <si>
    <t>手动年支出估算（元）</t>
  </si>
  <si>
    <t>元</t>
  </si>
  <si>
    <t>无记账数据时采用此值</t>
  </si>
  <si>
    <t>手动年储蓄估算（元）</t>
  </si>
  <si>
    <t>是否计入保险年金现价</t>
  </si>
  <si>
    <t>否</t>
  </si>
  <si>
    <t>是/否</t>
  </si>
  <si>
    <t>★推荐「否」：泰康年金现价在 60 岁后递减、84 岁归零，其价值已由「三、两阶段目标」以收入流方式处理；计入会重复计算</t>
  </si>
  <si>
    <t>年支出（记账表自动）</t>
  </si>
  <si>
    <t>＝记账表「年化支出」</t>
  </si>
  <si>
    <t>年储蓄（记账表自动）</t>
  </si>
  <si>
    <t>＝记账表「年化储蓄」</t>
  </si>
  <si>
    <t>采用年支出（元）</t>
  </si>
  <si>
    <t>有记账数据则优先用记账数据，否则用手动估算</t>
  </si>
  <si>
    <t>采用年储蓄（元）</t>
  </si>
  <si>
    <t>同上</t>
  </si>
  <si>
    <t>年金起始领取年龄</t>
  </si>
  <si>
    <t>泰康乐享百岁：60 岁起按月领取（条款 1.4）</t>
  </si>
  <si>
    <t>年金月领取额（元）</t>
  </si>
  <si>
    <t>取自保单：基本保险金额 = 15,000 元/月</t>
  </si>
  <si>
    <t>年金年领取额（元）</t>
  </si>
  <si>
    <t>＝月领取额 × 11.866（条款 1.4 的换算系数）</t>
  </si>
  <si>
    <t>退休后是否停止储蓄</t>
  </si>
  <si>
    <t>是</t>
  </si>
  <si>
    <t>退休后不再有工资性储蓄，推演按此切换</t>
  </si>
  <si>
    <t>二、FIRE 目标与当前进度</t>
  </si>
  <si>
    <t>＝采用年支出 ÷ SWR（不含年金的稳健口径）</t>
  </si>
  <si>
    <t>现金及存款（元）</t>
  </si>
  <si>
    <t>链接「资产明细」</t>
  </si>
  <si>
    <t>股票及证券（元）</t>
  </si>
  <si>
    <t>基金及理财（元）</t>
  </si>
  <si>
    <t>保险(储蓄型)现价（元）</t>
  </si>
  <si>
    <t>泰康年金 ＋ 中意增额寿 ＋ 金管家万能</t>
  </si>
  <si>
    <t>可投资资产合计（元）</t>
  </si>
  <si>
    <t>按「是否计入保险年金现价」开关计算</t>
  </si>
  <si>
    <t>教育金专项（元，不计入）</t>
  </si>
  <si>
    <t>★恒泰尊享现价已指定用于女儿大学四年，不参与 FIRE</t>
  </si>
  <si>
    <t>FIRE 进度</t>
  </si>
  <si>
    <t>＝可投资资产 ÷ FIRE目标</t>
  </si>
  <si>
    <t>财务自由度（现金流入覆盖率）</t>
  </si>
  <si>
    <t>＝(可投资资产×SWR ＋ 年金年领取额) ÷ 年支出；≥100% 即达成</t>
  </si>
  <si>
    <t>＝MAX(FIRE目标－可投资资产, 0)</t>
  </si>
  <si>
    <t>自动判定</t>
  </si>
  <si>
    <t>三、含年金的两阶段目标（修正口径：年金作为收入流，不重复计入资产）</t>
  </si>
  <si>
    <t>阶段1：46 → 59 岁支出现值（元）</t>
  </si>
  <si>
    <t>无年金期间，年支出全部由资产承担</t>
  </si>
  <si>
    <t>阶段2：60 岁起年净支出（元）</t>
  </si>
  <si>
    <t>＝年支出 － 年金年领取额</t>
  </si>
  <si>
    <t>阶段2所需资产（60 岁，元）</t>
  </si>
  <si>
    <t>＝阶段2净支出 ÷ SWR</t>
  </si>
  <si>
    <t>阶段2现值（折现至 46 岁，元）</t>
  </si>
  <si>
    <t>按实际收益率折现</t>
  </si>
  <si>
    <t>含年金的所需资产合计（元）</t>
  </si>
  <si>
    <t>★纳入年金后的真实目标，通常显著低于 750 万</t>
  </si>
  <si>
    <t>年金的资产释放效应（元）</t>
  </si>
  <si>
    <t>＝不含年金目标 － 含年金所需资产</t>
  </si>
  <si>
    <t>对照：含年金口径的充裕度</t>
  </si>
  <si>
    <t>＝可投资资产 ÷ 含年金所需资产</t>
  </si>
  <si>
    <t>四、达成时间测算</t>
  </si>
  <si>
    <t>实际收益率 r</t>
  </si>
  <si>
    <t>＝(1+名义收益率)÷(1+通胀率)－1</t>
  </si>
  <si>
    <t>预计所需年数</t>
  </si>
  <si>
    <t>＝NPER(r, －年储蓄, －当前资产, FIRE目标)</t>
  </si>
  <si>
    <t>＝今天 + 所需年数</t>
  </si>
  <si>
    <t>预计达成年度</t>
  </si>
  <si>
    <t>预计可退出年龄</t>
  </si>
  <si>
    <t>已达成时显示「可在任意时点退出」</t>
  </si>
  <si>
    <t>五、FIRE 分级评估</t>
  </si>
  <si>
    <t>FIRE 等级</t>
  </si>
  <si>
    <t>目标资产(元，不含年金)</t>
  </si>
  <si>
    <t>含年金所需资产(元)</t>
  </si>
  <si>
    <t>目标倍数</t>
  </si>
  <si>
    <t>进度(不含年金)</t>
  </si>
  <si>
    <t>进度(含年金)</t>
  </si>
  <si>
    <t>是否达成</t>
  </si>
  <si>
    <t>极简 FIRE（SWR 5%）</t>
  </si>
  <si>
    <t>标准 FIRE（SWR 4%）</t>
  </si>
  <si>
    <t>充裕 FIRE（SWR 3%）</t>
  </si>
  <si>
    <t>六、逐年资产推演（46 → 99 岁，以当前购买力计，实际收益率口径，区分积累期与领取期）</t>
  </si>
  <si>
    <t>年序</t>
  </si>
  <si>
    <t>阶段</t>
  </si>
  <si>
    <t>年初资产(元)</t>
  </si>
  <si>
    <t>当年净现金流(元)</t>
  </si>
  <si>
    <t>投资收益(元)</t>
  </si>
  <si>
    <t>年末资产(元)</t>
  </si>
  <si>
    <t>是否达成 FIRE</t>
  </si>
  <si>
    <t>使用说明与口径定义</t>
  </si>
  <si>
    <t>版本：2026-09 生成</t>
  </si>
  <si>
    <t>一、工作表说明</t>
  </si>
  <si>
    <t>总览看板</t>
  </si>
  <si>
    <t>自动汇总的驾驶舱：资产总览、FIRE 进度、达成时间、投资收益概览。无需手工修改。</t>
  </si>
  <si>
    <t>资产明细</t>
  </si>
  <si>
    <t>所有非房产资产的分类台账。保险按【现金价值】口径分「储蓄型」「教育金专项」两组。蓝色字体为手工输入项。</t>
  </si>
  <si>
    <t>保险权益与现金流</t>
  </si>
  <si>
    <t>4 张保单台账、按年龄的现金价值与年金现金流、保障缺口分析、IRR 测算、保单可用资金工具对比。</t>
  </si>
  <si>
    <t>教育金规划</t>
  </si>
  <si>
    <t>以「恒泰尊享 3.0」现价为来源，按条款 11.2 的 20%/年 减保上限，逐年推演女儿 18–22 岁大学四年可取现金额。</t>
  </si>
  <si>
    <t>收支记账</t>
  </si>
  <si>
    <t>月度/年度收支汇总，自动从小表「收支流水」汇总，无需手工填写数字。</t>
  </si>
  <si>
    <t>收支流水</t>
  </si>
  <si>
    <t>逐笔登记收支的流水表。只需填写「日期／类型／类别／金额」四列。</t>
  </si>
  <si>
    <t>月度净值跟踪</t>
  </si>
  <si>
    <t>每月月末登记一次各类资产金额，观察净资产曲线与 FIRE 进度变化；教育金专项单列备查。</t>
  </si>
  <si>
    <t>FIRE测算</t>
  </si>
  <si>
    <t>FIRE 参数、目标、进度、达成时间、分级评估，含年金的两阶段目标，以及 46→99 岁逐年推演。</t>
  </si>
  <si>
    <t>二、维护频率（建议）</t>
  </si>
  <si>
    <t>每月一次</t>
  </si>
  <si>
    <t>① 收支流水补录当月收支；② 月度净值跟踪填写当月各分类金额。</t>
  </si>
  <si>
    <t>每季度一次</t>
  </si>
  <si>
    <t>资产明细中更新股价、汇率、银行余额、基金净值。</t>
  </si>
  <si>
    <t>每半年一次</t>
  </si>
  <si>
    <t>复核 FIRE 参数：年支出、年储蓄、预期收益率、安全提款率。</t>
  </si>
  <si>
    <t>三、FIRE 计算逻辑</t>
  </si>
  <si>
    <t>FIRE 目标资产</t>
  </si>
  <si>
    <t>＝ 采用年支出 ÷ 安全提款率(SWR)。默认 SWR＝4%，即 25 倍年支出（4% 法则）。</t>
  </si>
  <si>
    <t>可投资资产</t>
  </si>
  <si>
    <t>＝ 现金及存款 ＋ 股票及证券 ＋ 基金及理财（默认不含保险；教育金专项永不参与）。年金是否计入由「是否计入保险年金现价」开关控制。</t>
  </si>
  <si>
    <t>财务自由度</t>
  </si>
  <si>
    <t>＝(可投资资产 × SWR ＋ 年金年领取额) ÷ 年支出。达 100% 即「现金流入口径」可覆盖全部支出。</t>
  </si>
  <si>
    <t>达成时间</t>
  </si>
  <si>
    <t>＝ NPER(实际收益率, －年储蓄, －当前可投资资产, FIRE目标)。实际收益率＝(1+名义收益率)÷(1+通胀率)－1。</t>
  </si>
  <si>
    <t>分级评估</t>
  </si>
  <si>
    <t>极简 FIRE＝年支出×20（SWR 5%）；标准 FIRE＝×25（SWR 4%）；充裕 FIRE＝×33.3（SWR 3%）；并给出「含年金」口径的所需资产。</t>
  </si>
  <si>
    <t>两阶段目标</t>
  </si>
  <si>
    <t>★年金是合同确定的现金流，性质等同债券，按年 177,990 元、自 60 岁起，用实际收益率折现，而非用 SWR 资本化。资产口径与现金流入口径须分开看。</t>
  </si>
  <si>
    <t>四、年支出／年储蓄的取值口径</t>
  </si>
  <si>
    <t>优先</t>
  </si>
  <si>
    <t>取自「收支记账」的滚动统计：按有记录的月份数取月均，再乘 12 折算为年化值。</t>
  </si>
  <si>
    <t>兜底</t>
  </si>
  <si>
    <t>若「收支流水」尚无数据，则采用 FIRE测算 中的「手动年支出估算／手动年储蓄估算」（默认 30万／40万，请按实际修改）。</t>
  </si>
  <si>
    <t>五、本次建表的数据口径与假设（请核对）</t>
  </si>
  <si>
    <t>现金</t>
  </si>
  <si>
    <t>招商银行 131 万、工商银行 24.3 万，合计 155.3 万。</t>
  </si>
  <si>
    <t>阿里巴巴持股</t>
  </si>
  <si>
    <t>港股（09988.HK）按 3164＋840＝4004 股；美股（BABA.US）按 2177 股。汇率默认 HKD 0.92、USD 7.15。</t>
  </si>
  <si>
    <t>阿里股价</t>
  </si>
  <si>
    <t>默认港股 130 HKD／美股 165 USD，为占位参考值，请务必更新为最新市价（黄色提示项）。</t>
  </si>
  <si>
    <t>阿里成本</t>
  </si>
  <si>
    <t>本次未提供阿里买入成本，「累计盈亏／收益率」暂不含阿里持仓；补充成本后自动更新。</t>
  </si>
  <si>
    <t>中信证券账户</t>
  </si>
  <si>
    <t>按「持仓市值 322 万、累计亏损 58.4 万」处理，据此推算成本约 380.4 万元。</t>
  </si>
  <si>
    <t>高毅晓峰基金</t>
  </si>
  <si>
    <t>本金 100 万，2021-06 买入，当前市值 151 万（浮盈 51 万）。</t>
  </si>
  <si>
    <t>泰康赢家人生</t>
  </si>
  <si>
    <t>投连险，本金 80 万，2020-12 买入，当前市值 84.4 万（浮盈 4.4 万）。</t>
  </si>
  <si>
    <t>保险估值口径</t>
  </si>
  <si>
    <t>★全部保险统一按【保单现金价值】计入，不再按累计已交保费口径（旧版口径会高估资产、掩盖退保损失）。</t>
  </si>
  <si>
    <t>养老年金，累计保费 301.25 万，现价 186.25 万（60 岁前）；60 岁起月领 1.5 万／年领 17.799 万，保证给付 25 年，60 岁后身故金为 0，现价至 84 岁归零。</t>
  </si>
  <si>
    <t>增额终身寿（分红），累计保费 4 万，现价 3.56 万；★受益人为「法定受益人」，建议改为指定受益人。</t>
  </si>
  <si>
    <t>陆家嘴国泰恒泰尊享3.0</t>
  </si>
  <si>
    <t>★教育金专项：累计保费 200 万，现价 160.06 万；用于女儿 18–22 岁大学四年，不参与 FIRE，单列看板。</t>
  </si>
  <si>
    <t>陆家嘴国泰金管家2.0</t>
  </si>
  <si>
    <t>万能险，趸交 1,000 元，现价 1,000 元；金额极小，仅作账户载体。</t>
  </si>
  <si>
    <t>房产</t>
  </si>
  <si>
    <t>本表按需求不含房产；如需纳入，可在「资产明细」增加分组并在看板中补充。</t>
  </si>
  <si>
    <t>本次未提供负债信息，暂按 0 处理，如有房贷等请填写在「资产明细」的负债区。</t>
  </si>
  <si>
    <t>六、注意事项</t>
  </si>
  <si>
    <t>公式保护</t>
  </si>
  <si>
    <t>除蓝色字体单元格外，请勿直接覆盖黑色公式单元格，否则汇总会出错。</t>
  </si>
  <si>
    <t>定义名称</t>
  </si>
  <si>
    <t>「FIRE目标」「FIRE年支出」为工作簿定义名称，指向 FIRE测算 的参数单元格；调整参数行不会导致看板/净值表引用错位。</t>
  </si>
  <si>
    <t>教育金刚性</t>
  </si>
  <si>
    <t>教育金专项与风险保障是刚性支出，不应计入 FIRE 可投资资产；「财务自由度」与「FIRE 进度」是两个不同口径，请勿混用。</t>
  </si>
  <si>
    <t>免责声明</t>
  </si>
  <si>
    <t>本表为个人财务规划工具，收益率、通胀率、SWR 均为假设值，不构成任何投资建议。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</si>
</sst>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quot;-&quot;"/>
    <numFmt numFmtId="177" formatCode="#,##0;\(#,##0\);&quot;-&quot;"/>
    <numFmt numFmtId="178" formatCode="0.0%;\(0.0%\);&quot;-&quot;"/>
    <numFmt numFmtId="179" formatCode="0.0&quot; 年&quot;"/>
    <numFmt numFmtId="180" formatCode="yyyy\-mm"/>
    <numFmt numFmtId="181" formatCode="0.0&quot; 倍&quot;"/>
    <numFmt numFmtId="182" formatCode="yyyy\-mm\-dd"/>
    <numFmt numFmtId="183" formatCode="#,##0.00;\(#,##0.00\);&quot;-&quot;"/>
    <numFmt numFmtId="184" formatCode="#,##0.####"/>
    <numFmt numFmtId="185" formatCode="0.0000"/>
    <numFmt numFmtId="186" formatCode="0.0&quot; 岁&quot;"/>
  </numFmts>
  <fonts count="34">
    <font>
      <sz val="11"/>
      <color theme="1"/>
      <name val="宋体"/>
      <charset val="134"/>
      <scheme val="minor"/>
    </font>
    <font>
      <b/>
      <sz val="14"/>
      <color rgb="FFFFFFFF"/>
      <name val="Microsoft YaHei"/>
      <charset val="134"/>
    </font>
    <font>
      <sz val="9"/>
      <color rgb="FF595959"/>
      <name val="Microsoft YaHei"/>
      <charset val="134"/>
    </font>
    <font>
      <b/>
      <sz val="11"/>
      <color rgb="FF1F4E79"/>
      <name val="Microsoft YaHei"/>
      <charset val="134"/>
    </font>
    <font>
      <sz val="10"/>
      <color rgb="FF000000"/>
      <name val="Microsoft YaHei"/>
      <charset val="134"/>
    </font>
    <font>
      <b/>
      <sz val="10"/>
      <color rgb="FF000000"/>
      <name val="Microsoft YaHei"/>
      <charset val="134"/>
    </font>
    <font>
      <sz val="10"/>
      <color rgb="FF404040"/>
      <name val="Microsoft YaHei"/>
      <charset val="134"/>
    </font>
    <font>
      <b/>
      <sz val="10"/>
      <color rgb="FFFFFFFF"/>
      <name val="Microsoft YaHei"/>
      <charset val="134"/>
    </font>
    <font>
      <sz val="10"/>
      <color rgb="FF0000FF"/>
      <name val="Microsoft YaHei"/>
      <charset val="134"/>
    </font>
    <font>
      <sz val="10"/>
      <color rgb="FF008000"/>
      <name val="Microsoft YaHei"/>
      <charset val="134"/>
    </font>
    <font>
      <b/>
      <sz val="10"/>
      <color rgb="FFC00000"/>
      <name val="Microsoft YaHei"/>
      <charset val="134"/>
    </font>
    <font>
      <b/>
      <sz val="10"/>
      <color rgb="FF008000"/>
      <name val="Microsoft YaHei"/>
      <charset val="134"/>
    </font>
    <font>
      <sz val="9"/>
      <color rgb="FFC00000"/>
      <name val="Microsoft YaHei"/>
      <charset val="134"/>
    </font>
    <font>
      <sz val="10"/>
      <color rgb="FFC00000"/>
      <name val="Microsoft YaHei"/>
      <charset val="134"/>
    </font>
    <font>
      <b/>
      <sz val="9"/>
      <color rgb="FF595959"/>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1F4E79"/>
        <bgColor rgb="FF1F4E79"/>
      </patternFill>
    </fill>
    <fill>
      <patternFill patternType="solid">
        <fgColor rgb="FFDDEBF7"/>
        <bgColor rgb="FFDDEBF7"/>
      </patternFill>
    </fill>
    <fill>
      <patternFill patternType="solid">
        <fgColor rgb="FFF2F2F2"/>
        <bgColor rgb="FFF2F2F2"/>
      </patternFill>
    </fill>
    <fill>
      <patternFill patternType="solid">
        <fgColor rgb="FFFFFF00"/>
        <bgColor rgb="FFFFFF00"/>
      </patternFill>
    </fill>
    <fill>
      <patternFill patternType="solid">
        <fgColor rgb="FFFFF2CC"/>
        <bgColor rgb="FFFFF2CC"/>
      </patternFill>
    </fill>
    <fill>
      <patternFill patternType="solid">
        <fgColor rgb="FFFCE4D6"/>
        <bgColor rgb="FFFCE4D6"/>
      </patternFill>
    </fill>
    <fill>
      <patternFill patternType="solid">
        <fgColor rgb="FFFFC7CE"/>
        <bgColor rgb="FFFFC7CE"/>
      </patternFill>
    </fill>
    <fill>
      <patternFill patternType="solid">
        <fgColor rgb="FFD9E1F2"/>
        <bgColor rgb="FFD9E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0" borderId="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0" applyNumberFormat="0" applyFill="0" applyBorder="0" applyAlignment="0" applyProtection="0">
      <alignment vertical="center"/>
    </xf>
    <xf numFmtId="0" fontId="23" fillId="11" borderId="7" applyNumberFormat="0" applyAlignment="0" applyProtection="0">
      <alignment vertical="center"/>
    </xf>
    <xf numFmtId="0" fontId="24" fillId="12" borderId="8" applyNumberFormat="0" applyAlignment="0" applyProtection="0">
      <alignment vertical="center"/>
    </xf>
    <xf numFmtId="0" fontId="25" fillId="12" borderId="7" applyNumberFormat="0" applyAlignment="0" applyProtection="0">
      <alignment vertical="center"/>
    </xf>
    <xf numFmtId="0" fontId="26" fillId="13" borderId="9" applyNumberFormat="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2" fillId="40" borderId="0" applyNumberFormat="0" applyBorder="0" applyAlignment="0" applyProtection="0">
      <alignment vertical="center"/>
    </xf>
  </cellStyleXfs>
  <cellXfs count="90">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horizontal="left" vertical="center" indent="1"/>
    </xf>
    <xf numFmtId="0" fontId="4"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2" borderId="1" xfId="0" applyFont="1" applyFill="1" applyBorder="1" applyAlignment="1">
      <alignment horizontal="center" vertical="center"/>
    </xf>
    <xf numFmtId="0" fontId="5" fillId="4" borderId="1" xfId="0" applyFont="1" applyFill="1" applyBorder="1" applyAlignment="1">
      <alignment horizontal="left" vertical="center"/>
    </xf>
    <xf numFmtId="0" fontId="8" fillId="5" borderId="1" xfId="0" applyFont="1" applyFill="1" applyBorder="1" applyAlignment="1">
      <alignment horizontal="right" vertical="center"/>
    </xf>
    <xf numFmtId="0" fontId="4"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176" fontId="8" fillId="5" borderId="1" xfId="0" applyNumberFormat="1" applyFont="1" applyFill="1" applyBorder="1" applyAlignment="1">
      <alignment horizontal="right" vertical="center"/>
    </xf>
    <xf numFmtId="177" fontId="8" fillId="5" borderId="1" xfId="0" applyNumberFormat="1" applyFont="1" applyFill="1" applyBorder="1" applyAlignment="1">
      <alignment horizontal="right" vertical="center"/>
    </xf>
    <xf numFmtId="0" fontId="8" fillId="5" borderId="1" xfId="0" applyFont="1" applyFill="1" applyBorder="1" applyAlignment="1">
      <alignment horizontal="left" vertical="center"/>
    </xf>
    <xf numFmtId="0" fontId="4" fillId="4" borderId="1" xfId="0" applyFont="1" applyFill="1" applyBorder="1" applyAlignment="1">
      <alignment horizontal="left" vertical="center"/>
    </xf>
    <xf numFmtId="177" fontId="9" fillId="0" borderId="1" xfId="0" applyNumberFormat="1" applyFont="1" applyBorder="1" applyAlignment="1">
      <alignment horizontal="right" vertical="center"/>
    </xf>
    <xf numFmtId="177" fontId="4" fillId="4" borderId="1" xfId="0" applyNumberFormat="1" applyFont="1" applyFill="1" applyBorder="1" applyAlignment="1">
      <alignment horizontal="right" vertical="center"/>
    </xf>
    <xf numFmtId="177" fontId="9" fillId="4" borderId="1" xfId="0" applyNumberFormat="1" applyFont="1" applyFill="1" applyBorder="1" applyAlignment="1">
      <alignment horizontal="right" vertical="center"/>
    </xf>
    <xf numFmtId="178" fontId="4" fillId="4" borderId="1" xfId="0" applyNumberFormat="1" applyFont="1" applyFill="1" applyBorder="1" applyAlignment="1">
      <alignment horizontal="right" vertical="center"/>
    </xf>
    <xf numFmtId="49" fontId="10" fillId="5" borderId="1" xfId="0" applyNumberFormat="1" applyFont="1" applyFill="1" applyBorder="1" applyAlignment="1">
      <alignment horizontal="center" vertical="center"/>
    </xf>
    <xf numFmtId="176" fontId="4" fillId="4" borderId="1" xfId="0" applyNumberFormat="1" applyFont="1" applyFill="1" applyBorder="1" applyAlignment="1">
      <alignment horizontal="right" vertical="center"/>
    </xf>
    <xf numFmtId="179" fontId="4" fillId="4" borderId="1" xfId="0" applyNumberFormat="1" applyFont="1" applyFill="1" applyBorder="1" applyAlignment="1">
      <alignment horizontal="right" vertical="center"/>
    </xf>
    <xf numFmtId="180" fontId="4" fillId="4" borderId="1" xfId="0" applyNumberFormat="1" applyFont="1" applyFill="1" applyBorder="1" applyAlignment="1">
      <alignment horizontal="right" vertical="center"/>
    </xf>
    <xf numFmtId="1" fontId="4" fillId="4" borderId="1" xfId="0" applyNumberFormat="1" applyFont="1" applyFill="1" applyBorder="1" applyAlignment="1">
      <alignment horizontal="right" vertical="center"/>
    </xf>
    <xf numFmtId="49" fontId="4" fillId="4" borderId="1" xfId="0" applyNumberFormat="1" applyFont="1" applyFill="1" applyBorder="1" applyAlignment="1">
      <alignment horizontal="right" vertical="center"/>
    </xf>
    <xf numFmtId="0" fontId="5" fillId="0" borderId="1" xfId="0" applyFont="1" applyBorder="1" applyAlignment="1">
      <alignment horizontal="left" vertical="center"/>
    </xf>
    <xf numFmtId="177" fontId="4" fillId="0" borderId="1" xfId="0" applyNumberFormat="1" applyFont="1" applyBorder="1" applyAlignment="1">
      <alignment horizontal="right" vertical="center"/>
    </xf>
    <xf numFmtId="181" fontId="4" fillId="0" borderId="1" xfId="0" applyNumberFormat="1" applyFont="1" applyBorder="1" applyAlignment="1">
      <alignment horizontal="right" vertical="center"/>
    </xf>
    <xf numFmtId="178" fontId="4" fillId="0" borderId="1" xfId="0" applyNumberFormat="1" applyFont="1" applyBorder="1" applyAlignment="1">
      <alignment horizontal="right" vertical="center"/>
    </xf>
    <xf numFmtId="178" fontId="10" fillId="0" borderId="1" xfId="0" applyNumberFormat="1" applyFont="1" applyBorder="1" applyAlignment="1">
      <alignment horizontal="right" vertical="center"/>
    </xf>
    <xf numFmtId="0" fontId="11" fillId="0" borderId="1" xfId="0" applyFont="1" applyBorder="1" applyAlignment="1">
      <alignment horizontal="center" vertical="center"/>
    </xf>
    <xf numFmtId="1" fontId="4" fillId="0" borderId="1" xfId="0" applyNumberFormat="1" applyFont="1" applyBorder="1" applyAlignment="1">
      <alignment horizontal="center" vertical="center"/>
    </xf>
    <xf numFmtId="0" fontId="4" fillId="0" borderId="1" xfId="0" applyFont="1" applyBorder="1" applyAlignment="1">
      <alignment horizontal="center" vertical="center"/>
    </xf>
    <xf numFmtId="177" fontId="4" fillId="6" borderId="1" xfId="0" applyNumberFormat="1" applyFont="1" applyFill="1" applyBorder="1" applyAlignment="1">
      <alignment horizontal="right" vertical="center"/>
    </xf>
    <xf numFmtId="180" fontId="4" fillId="0" borderId="1" xfId="0" applyNumberFormat="1" applyFont="1" applyBorder="1" applyAlignment="1">
      <alignment horizontal="center" vertical="center"/>
    </xf>
    <xf numFmtId="177" fontId="4" fillId="0" borderId="1" xfId="0" applyNumberFormat="1" applyFont="1" applyBorder="1" applyAlignment="1">
      <alignment horizontal="left" vertical="center"/>
    </xf>
    <xf numFmtId="178" fontId="4" fillId="0" borderId="1" xfId="0" applyNumberFormat="1" applyFont="1" applyBorder="1" applyAlignment="1">
      <alignment horizontal="left" vertical="center"/>
    </xf>
    <xf numFmtId="0" fontId="8" fillId="0" borderId="1" xfId="0" applyFont="1" applyBorder="1" applyAlignment="1">
      <alignment horizontal="left" vertical="center" wrapText="1"/>
    </xf>
    <xf numFmtId="177" fontId="8" fillId="0" borderId="1" xfId="0" applyNumberFormat="1" applyFont="1" applyBorder="1" applyAlignment="1">
      <alignment horizontal="left" vertical="center"/>
    </xf>
    <xf numFmtId="0" fontId="2" fillId="0" borderId="1" xfId="0" applyFont="1" applyBorder="1" applyAlignment="1">
      <alignment horizontal="left" vertical="center" wrapText="1"/>
    </xf>
    <xf numFmtId="182" fontId="8" fillId="0" borderId="1" xfId="0" applyNumberFormat="1"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0" fillId="0" borderId="2" xfId="0" applyBorder="1"/>
    <xf numFmtId="0" fontId="0" fillId="0" borderId="3" xfId="0" applyBorder="1"/>
    <xf numFmtId="1" fontId="8" fillId="5" borderId="1" xfId="0" applyNumberFormat="1" applyFont="1" applyFill="1" applyBorder="1" applyAlignment="1">
      <alignment horizontal="right" vertical="center"/>
    </xf>
    <xf numFmtId="183" fontId="9" fillId="4" borderId="1" xfId="0" applyNumberFormat="1" applyFont="1" applyFill="1" applyBorder="1" applyAlignment="1">
      <alignment horizontal="right" vertical="center"/>
    </xf>
    <xf numFmtId="178" fontId="9" fillId="4" borderId="1" xfId="0" applyNumberFormat="1" applyFont="1" applyFill="1" applyBorder="1" applyAlignment="1">
      <alignment horizontal="right" vertical="center"/>
    </xf>
    <xf numFmtId="1" fontId="9" fillId="4" borderId="1" xfId="0" applyNumberFormat="1" applyFont="1" applyFill="1" applyBorder="1" applyAlignment="1">
      <alignment horizontal="right" vertical="center"/>
    </xf>
    <xf numFmtId="183" fontId="9" fillId="0" borderId="1" xfId="0" applyNumberFormat="1" applyFont="1" applyBorder="1" applyAlignment="1">
      <alignment horizontal="right" vertical="center"/>
    </xf>
    <xf numFmtId="177" fontId="10" fillId="0" borderId="1" xfId="0" applyNumberFormat="1" applyFont="1" applyBorder="1" applyAlignment="1">
      <alignment horizontal="right" vertical="center"/>
    </xf>
    <xf numFmtId="183" fontId="4" fillId="0" borderId="1" xfId="0" applyNumberFormat="1" applyFont="1" applyBorder="1" applyAlignment="1">
      <alignment horizontal="right" vertical="center"/>
    </xf>
    <xf numFmtId="0" fontId="5" fillId="0" borderId="1" xfId="0" applyFont="1" applyBorder="1" applyAlignment="1">
      <alignment horizontal="center" vertical="center"/>
    </xf>
    <xf numFmtId="0" fontId="12" fillId="0" borderId="1" xfId="0" applyFont="1" applyBorder="1" applyAlignment="1">
      <alignment horizontal="left" vertical="center" wrapText="1"/>
    </xf>
    <xf numFmtId="177" fontId="10" fillId="4" borderId="1" xfId="0" applyNumberFormat="1" applyFont="1" applyFill="1" applyBorder="1" applyAlignment="1">
      <alignment horizontal="right" vertical="center"/>
    </xf>
    <xf numFmtId="178" fontId="10" fillId="4" borderId="1" xfId="0" applyNumberFormat="1" applyFont="1" applyFill="1" applyBorder="1" applyAlignment="1">
      <alignment horizontal="right" vertical="center"/>
    </xf>
    <xf numFmtId="183" fontId="10" fillId="4" borderId="1" xfId="0" applyNumberFormat="1" applyFont="1" applyFill="1" applyBorder="1" applyAlignment="1">
      <alignment horizontal="right" vertical="center"/>
    </xf>
    <xf numFmtId="0" fontId="13" fillId="0" borderId="0" xfId="0" applyFont="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7" borderId="1" xfId="0" applyFont="1" applyFill="1" applyBorder="1" applyAlignment="1">
      <alignment horizontal="left" vertical="center"/>
    </xf>
    <xf numFmtId="177" fontId="5" fillId="7" borderId="1" xfId="0" applyNumberFormat="1" applyFont="1" applyFill="1" applyBorder="1" applyAlignment="1">
      <alignment horizontal="right" vertical="center"/>
    </xf>
    <xf numFmtId="0" fontId="5" fillId="7" borderId="1" xfId="0" applyFont="1" applyFill="1" applyBorder="1" applyAlignment="1">
      <alignment horizontal="left" vertical="center" wrapText="1"/>
    </xf>
    <xf numFmtId="183" fontId="8" fillId="0" borderId="1" xfId="0" applyNumberFormat="1" applyFont="1" applyBorder="1" applyAlignment="1">
      <alignment horizontal="right" vertical="center"/>
    </xf>
    <xf numFmtId="177" fontId="8" fillId="0" borderId="1" xfId="0" applyNumberFormat="1" applyFont="1" applyBorder="1" applyAlignment="1">
      <alignment horizontal="right" vertical="center"/>
    </xf>
    <xf numFmtId="0" fontId="5" fillId="8" borderId="1" xfId="0" applyFont="1" applyFill="1" applyBorder="1" applyAlignment="1">
      <alignment horizontal="center" vertical="center"/>
    </xf>
    <xf numFmtId="0" fontId="10" fillId="8" borderId="1" xfId="0" applyFont="1" applyFill="1" applyBorder="1" applyAlignment="1">
      <alignment horizontal="left" vertical="center"/>
    </xf>
    <xf numFmtId="0" fontId="10" fillId="8" borderId="1" xfId="0" applyFont="1" applyFill="1" applyBorder="1" applyAlignment="1">
      <alignment horizontal="left" vertical="center" wrapText="1"/>
    </xf>
    <xf numFmtId="176" fontId="10" fillId="0" borderId="1" xfId="0" applyNumberFormat="1" applyFont="1" applyBorder="1" applyAlignment="1">
      <alignment horizontal="right" vertical="center"/>
    </xf>
    <xf numFmtId="0" fontId="5" fillId="9" borderId="1" xfId="0" applyFont="1" applyFill="1" applyBorder="1" applyAlignment="1">
      <alignment horizontal="left" vertical="center"/>
    </xf>
    <xf numFmtId="184" fontId="8" fillId="0" borderId="1" xfId="0" applyNumberFormat="1" applyFont="1" applyBorder="1" applyAlignment="1">
      <alignment horizontal="right" vertical="center"/>
    </xf>
    <xf numFmtId="185" fontId="8" fillId="0" borderId="1" xfId="0" applyNumberFormat="1" applyFont="1" applyBorder="1" applyAlignment="1">
      <alignment horizontal="right" vertical="center"/>
    </xf>
    <xf numFmtId="177" fontId="5" fillId="4" borderId="1" xfId="0" applyNumberFormat="1" applyFont="1" applyFill="1" applyBorder="1" applyAlignment="1">
      <alignment horizontal="right" vertical="center"/>
    </xf>
    <xf numFmtId="178" fontId="5" fillId="4" borderId="1" xfId="0" applyNumberFormat="1" applyFont="1" applyFill="1" applyBorder="1" applyAlignment="1">
      <alignment horizontal="right" vertical="center"/>
    </xf>
    <xf numFmtId="178" fontId="5" fillId="4" borderId="1" xfId="0" applyNumberFormat="1" applyFont="1" applyFill="1" applyBorder="1" applyAlignment="1">
      <alignment horizontal="left" vertical="center"/>
    </xf>
    <xf numFmtId="0" fontId="5" fillId="6" borderId="1" xfId="0" applyFont="1" applyFill="1" applyBorder="1" applyAlignment="1">
      <alignment horizontal="left" vertical="center"/>
    </xf>
    <xf numFmtId="0" fontId="4" fillId="6" borderId="1" xfId="0" applyFont="1" applyFill="1" applyBorder="1" applyAlignment="1">
      <alignment horizontal="left" vertical="center"/>
    </xf>
    <xf numFmtId="0" fontId="5" fillId="7" borderId="1" xfId="0" applyFont="1" applyFill="1" applyBorder="1" applyAlignment="1">
      <alignment horizontal="left" vertical="center"/>
    </xf>
    <xf numFmtId="178" fontId="5" fillId="7" borderId="1" xfId="0" applyNumberFormat="1" applyFont="1" applyFill="1" applyBorder="1" applyAlignment="1">
      <alignment horizontal="right" vertical="center"/>
    </xf>
    <xf numFmtId="0" fontId="14" fillId="7" borderId="1" xfId="0" applyFont="1" applyFill="1" applyBorder="1" applyAlignment="1">
      <alignment horizontal="left" vertical="center" wrapText="1"/>
    </xf>
    <xf numFmtId="0" fontId="10" fillId="7" borderId="1" xfId="0" applyFont="1" applyFill="1" applyBorder="1" applyAlignment="1">
      <alignment horizontal="left" vertical="center"/>
    </xf>
    <xf numFmtId="177" fontId="10" fillId="7" borderId="1" xfId="0" applyNumberFormat="1" applyFont="1" applyFill="1" applyBorder="1" applyAlignment="1">
      <alignment horizontal="right" vertical="center"/>
    </xf>
    <xf numFmtId="176" fontId="9" fillId="4" borderId="1" xfId="0" applyNumberFormat="1" applyFont="1" applyFill="1" applyBorder="1" applyAlignment="1">
      <alignment horizontal="right" vertical="center"/>
    </xf>
    <xf numFmtId="179" fontId="9" fillId="4" borderId="1" xfId="0" applyNumberFormat="1" applyFont="1" applyFill="1" applyBorder="1" applyAlignment="1">
      <alignment horizontal="right" vertical="center"/>
    </xf>
    <xf numFmtId="180" fontId="9" fillId="4" borderId="1" xfId="0" applyNumberFormat="1" applyFont="1" applyFill="1" applyBorder="1" applyAlignment="1">
      <alignment horizontal="right" vertical="center"/>
    </xf>
    <xf numFmtId="186" fontId="9" fillId="4" borderId="1" xfId="0" applyNumberFormat="1" applyFont="1" applyFill="1" applyBorder="1" applyAlignment="1">
      <alignment horizontal="right" vertical="center"/>
    </xf>
    <xf numFmtId="0" fontId="5" fillId="5" borderId="1" xfId="0" applyFont="1" applyFill="1" applyBorder="1" applyAlignment="1">
      <alignment horizontal="left" vertical="center"/>
    </xf>
    <xf numFmtId="0" fontId="10" fillId="5" borderId="1" xfId="0" applyFont="1" applyFill="1" applyBorder="1" applyAlignment="1">
      <alignment horizontal="center" vertical="center"/>
    </xf>
    <xf numFmtId="0" fontId="2"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资产配置结构</a:t>
            </a:r>
          </a:p>
        </c:rich>
      </c:tx>
      <c:layout/>
      <c:overlay val="0"/>
    </c:title>
    <c:autoTitleDeleted val="0"/>
    <c:plotArea>
      <c:layout/>
      <c:pieChart>
        <c:varyColors val="1"/>
        <c:ser>
          <c:idx val="0"/>
          <c:order val="0"/>
          <c:tx>
            <c:strRef>
              <c:f>总览看板!$B$5</c:f>
              <c:strCache>
                <c:ptCount val="1"/>
                <c:pt idx="0">
                  <c:v>金额(元)</c:v>
                </c:pt>
              </c:strCache>
            </c:strRef>
          </c:tx>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Pt>
            <c:idx val="4"/>
            <c:bubble3D val="0"/>
            <c:spPr>
              <a:ln>
                <a:noFill/>
                <a:prstDash val="solid"/>
              </a:ln>
            </c:spPr>
          </c:dPt>
          <c:dLbls>
            <c:delete val="1"/>
          </c:dLbls>
          <c:cat>
            <c:strRef>
              <c:f>总览看板!$A$6:$A$10</c:f>
              <c:strCache>
                <c:ptCount val="5"/>
                <c:pt idx="0">
                  <c:v>现金及存款</c:v>
                </c:pt>
                <c:pt idx="1">
                  <c:v>股票及证券</c:v>
                </c:pt>
                <c:pt idx="2">
                  <c:v>基金及理财</c:v>
                </c:pt>
                <c:pt idx="3">
                  <c:v>保险（储蓄型）</c:v>
                </c:pt>
                <c:pt idx="4">
                  <c:v>教育金专项（恒泰尊享）</c:v>
                </c:pt>
              </c:strCache>
            </c:strRef>
          </c:cat>
          <c:val>
            <c:numRef>
              <c:f>总览看板!$B$6:$B$10</c:f>
              <c:numCache>
                <c:formatCode>#,##0;\(#,##0\);"-"</c:formatCode>
                <c:ptCount val="5"/>
                <c:pt idx="0">
                  <c:v>1553000</c:v>
                </c:pt>
                <c:pt idx="1">
                  <c:v>5326364.26</c:v>
                </c:pt>
                <c:pt idx="2">
                  <c:v>2354000</c:v>
                </c:pt>
                <c:pt idx="3">
                  <c:v>1899138.36</c:v>
                </c:pt>
                <c:pt idx="4">
                  <c:v>1600567.28</c:v>
                </c:pt>
              </c:numCache>
            </c:numRef>
          </c:val>
        </c:ser>
        <c:dLbls>
          <c:showLegendKey val="0"/>
          <c:showVal val="0"/>
          <c:showCatName val="0"/>
          <c:showSerName val="0"/>
          <c:showPercent val="0"/>
          <c:showBubbleSize val="0"/>
          <c:showLeaderLines val="1"/>
        </c:dLbls>
        <c:firstSliceAng val="0"/>
      </c:pieChart>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8fdbd29-4b67-491f-9485-4e7947ccbb06}"/>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净资产月度走势</a:t>
            </a:r>
          </a:p>
        </c:rich>
      </c:tx>
      <c:layout/>
      <c:overlay val="0"/>
    </c:title>
    <c:autoTitleDeleted val="0"/>
    <c:plotArea>
      <c:layout/>
      <c:lineChart>
        <c:grouping val="standard"/>
        <c:varyColors val="0"/>
        <c:ser>
          <c:idx val="0"/>
          <c:order val="0"/>
          <c:tx>
            <c:strRef>
              <c:f>月度净值跟踪!$H$3</c:f>
              <c:strCache>
                <c:ptCount val="1"/>
                <c:pt idx="0">
                  <c:v>净资产</c:v>
                </c:pt>
              </c:strCache>
            </c:strRef>
          </c:tx>
          <c:spPr>
            <a:ln w="28575" cap="rnd" cmpd="sng" algn="ctr">
              <a:solidFill>
                <a:schemeClr val="accent1">
                  <a:shade val="95000"/>
                  <a:satMod val="105000"/>
                </a:schemeClr>
              </a:solidFill>
              <a:prstDash val="solid"/>
              <a:round/>
            </a:ln>
          </c:spPr>
          <c:marker>
            <c:symbol val="none"/>
          </c:marker>
          <c:dLbls>
            <c:delete val="1"/>
          </c:dLbls>
          <c:cat>
            <c:numRef>
              <c:f>月度净值跟踪!$A$4:$A$27</c:f>
              <c:numCache>
                <c:formatCode>yyyy\-mm</c:formatCode>
                <c:ptCount val="24"/>
                <c:pt idx="0" c:formatCode="yyyy\-mm">
                  <c:v>46266</c:v>
                </c:pt>
                <c:pt idx="1" c:formatCode="yyyy\-mm">
                  <c:v>46296</c:v>
                </c:pt>
                <c:pt idx="2" c:formatCode="yyyy\-mm">
                  <c:v>46327</c:v>
                </c:pt>
                <c:pt idx="3" c:formatCode="yyyy\-mm">
                  <c:v>46357</c:v>
                </c:pt>
                <c:pt idx="4" c:formatCode="yyyy\-mm">
                  <c:v>46388</c:v>
                </c:pt>
                <c:pt idx="5" c:formatCode="yyyy\-mm">
                  <c:v>46419</c:v>
                </c:pt>
                <c:pt idx="6" c:formatCode="yyyy\-mm">
                  <c:v>46447</c:v>
                </c:pt>
                <c:pt idx="7" c:formatCode="yyyy\-mm">
                  <c:v>46478</c:v>
                </c:pt>
                <c:pt idx="8" c:formatCode="yyyy\-mm">
                  <c:v>46508</c:v>
                </c:pt>
                <c:pt idx="9" c:formatCode="yyyy\-mm">
                  <c:v>46539</c:v>
                </c:pt>
                <c:pt idx="10" c:formatCode="yyyy\-mm">
                  <c:v>46569</c:v>
                </c:pt>
                <c:pt idx="11" c:formatCode="yyyy\-mm">
                  <c:v>46600</c:v>
                </c:pt>
                <c:pt idx="12" c:formatCode="yyyy\-mm">
                  <c:v>46631</c:v>
                </c:pt>
                <c:pt idx="13" c:formatCode="yyyy\-mm">
                  <c:v>46661</c:v>
                </c:pt>
                <c:pt idx="14" c:formatCode="yyyy\-mm">
                  <c:v>46692</c:v>
                </c:pt>
                <c:pt idx="15" c:formatCode="yyyy\-mm">
                  <c:v>46722</c:v>
                </c:pt>
                <c:pt idx="16" c:formatCode="yyyy\-mm">
                  <c:v>46753</c:v>
                </c:pt>
                <c:pt idx="17" c:formatCode="yyyy\-mm">
                  <c:v>46784</c:v>
                </c:pt>
                <c:pt idx="18" c:formatCode="yyyy\-mm">
                  <c:v>46813</c:v>
                </c:pt>
                <c:pt idx="19" c:formatCode="yyyy\-mm">
                  <c:v>46844</c:v>
                </c:pt>
                <c:pt idx="20" c:formatCode="yyyy\-mm">
                  <c:v>46874</c:v>
                </c:pt>
                <c:pt idx="21" c:formatCode="yyyy\-mm">
                  <c:v>46905</c:v>
                </c:pt>
                <c:pt idx="22" c:formatCode="yyyy\-mm">
                  <c:v>46935</c:v>
                </c:pt>
                <c:pt idx="23" c:formatCode="yyyy\-mm">
                  <c:v>46966</c:v>
                </c:pt>
              </c:numCache>
            </c:numRef>
          </c:cat>
          <c:val>
            <c:numRef>
              <c:f>月度净值跟踪!$H$4:$H$27</c:f>
              <c:numCache>
                <c:formatCode>#,##0;\(#,##0\);"-"</c:formatCode>
                <c:ptCount val="24"/>
                <c:pt idx="0">
                  <c:v>11132502.62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ser>
        <c:dLbls>
          <c:showLegendKey val="0"/>
          <c:showVal val="0"/>
          <c:showCatName val="0"/>
          <c:showSerName val="0"/>
          <c:showPercent val="0"/>
          <c:showBubbleSize val="0"/>
        </c:dLbls>
        <c:marker val="0"/>
        <c:smooth val="1"/>
        <c:axId val="10"/>
        <c:axId val="100"/>
      </c:lineChart>
      <c:date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月份</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Offset val="100"/>
        <c:baseTimeUnit val="days"/>
      </c:date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元</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91121d9-8552-424a-9849-c8e01a52d1e1}"/>
      </c:ext>
    </c:extLst>
  </c:chart>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资产增长与 FIRE 目标（实际购买力）</a:t>
            </a:r>
          </a:p>
        </c:rich>
      </c:tx>
      <c:layout/>
      <c:overlay val="0"/>
    </c:title>
    <c:autoTitleDeleted val="0"/>
    <c:plotArea>
      <c:layout/>
      <c:lineChart>
        <c:grouping val="standard"/>
        <c:varyColors val="0"/>
        <c:ser>
          <c:idx val="0"/>
          <c:order val="0"/>
          <c:tx>
            <c:strRef>
              <c:f>FIRE测算!$H$54</c:f>
              <c:strCache>
                <c:ptCount val="1"/>
                <c:pt idx="0">
                  <c:v>年末资产(元)</c:v>
                </c:pt>
              </c:strCache>
            </c:strRef>
          </c:tx>
          <c:spPr>
            <a:ln w="28575" cap="rnd" cmpd="sng" algn="ctr">
              <a:solidFill>
                <a:schemeClr val="accent1">
                  <a:shade val="95000"/>
                  <a:satMod val="105000"/>
                </a:schemeClr>
              </a:solidFill>
              <a:prstDash val="solid"/>
              <a:round/>
            </a:ln>
          </c:spPr>
          <c:marker>
            <c:symbol val="none"/>
          </c:marker>
          <c:dLbls>
            <c:delete val="1"/>
          </c:dLbls>
          <c:cat>
            <c:numRef>
              <c:f>FIRE测算!$B$55:$B$108</c:f>
              <c:numCache>
                <c:formatCode>0</c:formatCode>
                <c:ptCount val="54"/>
                <c:pt idx="0" c:formatCode="0">
                  <c:v>2026</c:v>
                </c:pt>
                <c:pt idx="1" c:formatCode="0">
                  <c:v>2027</c:v>
                </c:pt>
                <c:pt idx="2" c:formatCode="0">
                  <c:v>2028</c:v>
                </c:pt>
                <c:pt idx="3" c:formatCode="0">
                  <c:v>2029</c:v>
                </c:pt>
                <c:pt idx="4" c:formatCode="0">
                  <c:v>2030</c:v>
                </c:pt>
                <c:pt idx="5" c:formatCode="0">
                  <c:v>2031</c:v>
                </c:pt>
                <c:pt idx="6" c:formatCode="0">
                  <c:v>2032</c:v>
                </c:pt>
                <c:pt idx="7" c:formatCode="0">
                  <c:v>2033</c:v>
                </c:pt>
                <c:pt idx="8" c:formatCode="0">
                  <c:v>2034</c:v>
                </c:pt>
                <c:pt idx="9" c:formatCode="0">
                  <c:v>2035</c:v>
                </c:pt>
                <c:pt idx="10" c:formatCode="0">
                  <c:v>2036</c:v>
                </c:pt>
                <c:pt idx="11" c:formatCode="0">
                  <c:v>2037</c:v>
                </c:pt>
                <c:pt idx="12" c:formatCode="0">
                  <c:v>2038</c:v>
                </c:pt>
                <c:pt idx="13" c:formatCode="0">
                  <c:v>2039</c:v>
                </c:pt>
                <c:pt idx="14" c:formatCode="0">
                  <c:v>2040</c:v>
                </c:pt>
                <c:pt idx="15" c:formatCode="0">
                  <c:v>2041</c:v>
                </c:pt>
                <c:pt idx="16" c:formatCode="0">
                  <c:v>2042</c:v>
                </c:pt>
                <c:pt idx="17" c:formatCode="0">
                  <c:v>2043</c:v>
                </c:pt>
                <c:pt idx="18" c:formatCode="0">
                  <c:v>2044</c:v>
                </c:pt>
                <c:pt idx="19" c:formatCode="0">
                  <c:v>2045</c:v>
                </c:pt>
                <c:pt idx="20" c:formatCode="0">
                  <c:v>2046</c:v>
                </c:pt>
                <c:pt idx="21" c:formatCode="0">
                  <c:v>2047</c:v>
                </c:pt>
                <c:pt idx="22" c:formatCode="0">
                  <c:v>2048</c:v>
                </c:pt>
                <c:pt idx="23" c:formatCode="0">
                  <c:v>2049</c:v>
                </c:pt>
                <c:pt idx="24" c:formatCode="0">
                  <c:v>2050</c:v>
                </c:pt>
                <c:pt idx="25" c:formatCode="0">
                  <c:v>2051</c:v>
                </c:pt>
                <c:pt idx="26" c:formatCode="0">
                  <c:v>2052</c:v>
                </c:pt>
                <c:pt idx="27" c:formatCode="0">
                  <c:v>2053</c:v>
                </c:pt>
                <c:pt idx="28" c:formatCode="0">
                  <c:v>2054</c:v>
                </c:pt>
                <c:pt idx="29" c:formatCode="0">
                  <c:v>2055</c:v>
                </c:pt>
                <c:pt idx="30" c:formatCode="0">
                  <c:v>2056</c:v>
                </c:pt>
                <c:pt idx="31" c:formatCode="0">
                  <c:v>2057</c:v>
                </c:pt>
                <c:pt idx="32" c:formatCode="0">
                  <c:v>2058</c:v>
                </c:pt>
                <c:pt idx="33" c:formatCode="0">
                  <c:v>2059</c:v>
                </c:pt>
                <c:pt idx="34" c:formatCode="0">
                  <c:v>2060</c:v>
                </c:pt>
                <c:pt idx="35" c:formatCode="0">
                  <c:v>2061</c:v>
                </c:pt>
                <c:pt idx="36" c:formatCode="0">
                  <c:v>2062</c:v>
                </c:pt>
                <c:pt idx="37" c:formatCode="0">
                  <c:v>2063</c:v>
                </c:pt>
                <c:pt idx="38" c:formatCode="0">
                  <c:v>2064</c:v>
                </c:pt>
                <c:pt idx="39" c:formatCode="0">
                  <c:v>2065</c:v>
                </c:pt>
                <c:pt idx="40" c:formatCode="0">
                  <c:v>2066</c:v>
                </c:pt>
                <c:pt idx="41" c:formatCode="0">
                  <c:v>2067</c:v>
                </c:pt>
                <c:pt idx="42" c:formatCode="0">
                  <c:v>2068</c:v>
                </c:pt>
                <c:pt idx="43" c:formatCode="0">
                  <c:v>2069</c:v>
                </c:pt>
                <c:pt idx="44" c:formatCode="0">
                  <c:v>2070</c:v>
                </c:pt>
                <c:pt idx="45" c:formatCode="0">
                  <c:v>2071</c:v>
                </c:pt>
                <c:pt idx="46" c:formatCode="0">
                  <c:v>2072</c:v>
                </c:pt>
                <c:pt idx="47" c:formatCode="0">
                  <c:v>2073</c:v>
                </c:pt>
                <c:pt idx="48" c:formatCode="0">
                  <c:v>2074</c:v>
                </c:pt>
                <c:pt idx="49" c:formatCode="0">
                  <c:v>2075</c:v>
                </c:pt>
                <c:pt idx="50" c:formatCode="0">
                  <c:v>2076</c:v>
                </c:pt>
                <c:pt idx="51" c:formatCode="0">
                  <c:v>2077</c:v>
                </c:pt>
                <c:pt idx="52" c:formatCode="0">
                  <c:v>2078</c:v>
                </c:pt>
                <c:pt idx="53" c:formatCode="0">
                  <c:v>2079</c:v>
                </c:pt>
              </c:numCache>
            </c:numRef>
          </c:cat>
          <c:val>
            <c:numRef>
              <c:f>FIRE测算!$H$55:$H$108</c:f>
              <c:numCache>
                <c:formatCode>#,##0;\(#,##0\);"-"</c:formatCode>
                <c:ptCount val="54"/>
                <c:pt idx="0">
                  <c:v>10038731.4714146</c:v>
                </c:pt>
                <c:pt idx="1">
                  <c:v>10879456.2677206</c:v>
                </c:pt>
                <c:pt idx="2">
                  <c:v>11757090.9331328</c:v>
                </c:pt>
                <c:pt idx="3">
                  <c:v>12673255.9009289</c:v>
                </c:pt>
                <c:pt idx="4">
                  <c:v>13629642.7453599</c:v>
                </c:pt>
                <c:pt idx="5">
                  <c:v>14628017.3049123</c:v>
                </c:pt>
                <c:pt idx="6">
                  <c:v>15670222.9426889</c:v>
                </c:pt>
                <c:pt idx="7">
                  <c:v>16758183.9499289</c:v>
                </c:pt>
                <c:pt idx="8">
                  <c:v>17893909.0989502</c:v>
                </c:pt>
                <c:pt idx="9">
                  <c:v>19079495.3520748</c:v>
                </c:pt>
                <c:pt idx="10">
                  <c:v>20317131.7333854</c:v>
                </c:pt>
                <c:pt idx="11">
                  <c:v>21609103.3704609</c:v>
                </c:pt>
                <c:pt idx="12">
                  <c:v>22957795.7135543</c:v>
                </c:pt>
                <c:pt idx="13">
                  <c:v>23643688.940003</c:v>
                </c:pt>
                <c:pt idx="14">
                  <c:v>24359694.5520032</c:v>
                </c:pt>
                <c:pt idx="15">
                  <c:v>25107134.5567253</c:v>
                </c:pt>
                <c:pt idx="16">
                  <c:v>25887389.0006791</c:v>
                </c:pt>
                <c:pt idx="17">
                  <c:v>26701898.5177821</c:v>
                </c:pt>
                <c:pt idx="18">
                  <c:v>27552166.9892945</c:v>
                </c:pt>
                <c:pt idx="19">
                  <c:v>28439764.3205318</c:v>
                </c:pt>
                <c:pt idx="20">
                  <c:v>29366329.339482</c:v>
                </c:pt>
                <c:pt idx="21">
                  <c:v>30333572.8226788</c:v>
                </c:pt>
                <c:pt idx="22">
                  <c:v>31343280.6539183</c:v>
                </c:pt>
                <c:pt idx="23">
                  <c:v>32397317.1216513</c:v>
                </c:pt>
                <c:pt idx="24">
                  <c:v>33497628.3611385</c:v>
                </c:pt>
                <c:pt idx="25">
                  <c:v>34646245.947725</c:v>
                </c:pt>
                <c:pt idx="26">
                  <c:v>35845290.6478691</c:v>
                </c:pt>
                <c:pt idx="27">
                  <c:v>37096976.3348487</c:v>
                </c:pt>
                <c:pt idx="28">
                  <c:v>38403614.0763787</c:v>
                </c:pt>
                <c:pt idx="29">
                  <c:v>39767616.4016831</c:v>
                </c:pt>
                <c:pt idx="30">
                  <c:v>41191501.7559033</c:v>
                </c:pt>
                <c:pt idx="31">
                  <c:v>42677899.150065</c:v>
                </c:pt>
                <c:pt idx="32">
                  <c:v>44229553.0151898</c:v>
                </c:pt>
                <c:pt idx="33">
                  <c:v>45849328.2695152</c:v>
                </c:pt>
                <c:pt idx="34">
                  <c:v>47540215.6081768</c:v>
                </c:pt>
                <c:pt idx="35">
                  <c:v>49305337.0251212</c:v>
                </c:pt>
                <c:pt idx="36">
                  <c:v>51147951.5774436</c:v>
                </c:pt>
                <c:pt idx="37">
                  <c:v>53071461.4027948</c:v>
                </c:pt>
                <c:pt idx="38">
                  <c:v>55079418.0009663</c:v>
                </c:pt>
                <c:pt idx="39">
                  <c:v>57175528.7912527</c:v>
                </c:pt>
                <c:pt idx="40">
                  <c:v>59363663.9576979</c:v>
                </c:pt>
                <c:pt idx="41">
                  <c:v>61647863.5948651</c:v>
                </c:pt>
                <c:pt idx="42">
                  <c:v>64032345.1673227</c:v>
                </c:pt>
                <c:pt idx="43">
                  <c:v>66521511.2966198</c:v>
                </c:pt>
                <c:pt idx="44">
                  <c:v>69119957.8901299</c:v>
                </c:pt>
                <c:pt idx="45">
                  <c:v>71832482.6267698</c:v>
                </c:pt>
                <c:pt idx="46">
                  <c:v>74664093.8152621</c:v>
                </c:pt>
                <c:pt idx="47">
                  <c:v>77620019.6412981</c:v>
                </c:pt>
                <c:pt idx="48">
                  <c:v>80705717.8206721</c:v>
                </c:pt>
                <c:pt idx="49">
                  <c:v>83926885.6762139</c:v>
                </c:pt>
                <c:pt idx="50">
                  <c:v>87289470.6571208</c:v>
                </c:pt>
                <c:pt idx="51">
                  <c:v>90799681.3201164</c:v>
                </c:pt>
                <c:pt idx="52">
                  <c:v>94463998.7927069</c:v>
                </c:pt>
                <c:pt idx="53">
                  <c:v>98289188.7397038</c:v>
                </c:pt>
              </c:numCache>
            </c:numRef>
          </c:val>
          <c:smooth val="1"/>
        </c:ser>
        <c:dLbls>
          <c:showLegendKey val="0"/>
          <c:showVal val="0"/>
          <c:showCatName val="0"/>
          <c:showSerName val="0"/>
          <c:showPercent val="0"/>
          <c:showBubbleSize val="0"/>
        </c:dLbls>
        <c:marker val="0"/>
        <c:smooth val="1"/>
        <c:axId val="10"/>
        <c:axId val="100"/>
      </c:line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年份</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元</a:t>
                </a:r>
              </a:p>
            </c:rich>
          </c:tx>
          <c:layout/>
          <c:overlay val="0"/>
        </c:title>
        <c:numFmt formatCode="#,##0;\(#,##0\);&quot;-&quot;"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33bde23-bf8a-477e-8732-a3e630f81e35}"/>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0</xdr:colOff>
      <xdr:row>4</xdr:row>
      <xdr:rowOff>0</xdr:rowOff>
    </xdr:from>
    <xdr:ext cx="4680000" cy="2630150"/>
    <xdr:graphicFrame>
      <xdr:nvGraphicFramePr>
        <xdr:cNvPr id="2" name="Chart 1"/>
        <xdr:cNvGraphicFramePr/>
      </xdr:nvGraphicFramePr>
      <xdr:xfrm>
        <a:off x="5448300" y="965200"/>
        <a:ext cx="4679950" cy="262953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31</xdr:row>
      <xdr:rowOff>0</xdr:rowOff>
    </xdr:from>
    <xdr:ext cx="7200000" cy="3024100"/>
    <xdr:graphicFrame>
      <xdr:nvGraphicFramePr>
        <xdr:cNvPr id="2" name="Chart 1"/>
        <xdr:cNvGraphicFramePr/>
      </xdr:nvGraphicFramePr>
      <xdr:xfrm>
        <a:off x="768350" y="6223000"/>
        <a:ext cx="7199630" cy="302387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9</xdr:col>
      <xdr:colOff>0</xdr:colOff>
      <xdr:row>3</xdr:row>
      <xdr:rowOff>0</xdr:rowOff>
    </xdr:from>
    <xdr:ext cx="7200000" cy="3455900"/>
    <xdr:graphicFrame>
      <xdr:nvGraphicFramePr>
        <xdr:cNvPr id="2" name="Chart 1"/>
        <xdr:cNvGraphicFramePr/>
      </xdr:nvGraphicFramePr>
      <xdr:xfrm>
        <a:off x="12084050" y="787400"/>
        <a:ext cx="7199630" cy="345567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9"/>
  </sheetPr>
  <dimension ref="A1:F37"/>
  <sheetViews>
    <sheetView workbookViewId="0">
      <pane ySplit="4" topLeftCell="A5" activePane="bottomLeft" state="frozen"/>
      <selection/>
      <selection pane="bottomLeft" activeCell="D21" sqref="D21"/>
    </sheetView>
  </sheetViews>
  <sheetFormatPr defaultColWidth="9" defaultRowHeight="14" outlineLevelCol="5"/>
  <cols>
    <col min="1" max="1" width="28" customWidth="1"/>
    <col min="2" max="2" width="20" customWidth="1"/>
    <col min="3" max="3" width="14" customWidth="1"/>
    <col min="4" max="4" width="16" customWidth="1"/>
    <col min="5" max="5" width="18" customWidth="1"/>
    <col min="6" max="6" width="30" customWidth="1"/>
  </cols>
  <sheetData>
    <row r="1" ht="26" customHeight="1" spans="1:3">
      <c r="A1" s="1" t="s">
        <v>0</v>
      </c>
    </row>
    <row r="2" ht="16" customHeight="1" spans="1:3">
      <c r="A2" s="2" t="s">
        <v>1</v>
      </c>
    </row>
    <row r="4" ht="20" customHeight="1" spans="1:3">
      <c r="A4" s="3" t="s">
        <v>2</v>
      </c>
    </row>
    <row r="5" ht="30" customHeight="1" spans="1:3">
      <c r="A5" s="7" t="s">
        <v>3</v>
      </c>
      <c r="B5" s="7" t="s">
        <v>4</v>
      </c>
      <c r="C5" s="7" t="s">
        <v>5</v>
      </c>
    </row>
    <row r="6" ht="14.5" spans="1:3">
      <c r="A6" s="8" t="s">
        <v>6</v>
      </c>
      <c r="B6" s="18">
        <f>资产明细!G8</f>
        <v>1553000</v>
      </c>
      <c r="C6" s="19">
        <f>IFERROR(B6/$B$11,"")</f>
        <v>0.121965874074091</v>
      </c>
    </row>
    <row r="7" ht="14.5" spans="1:3">
      <c r="A7" s="8" t="s">
        <v>7</v>
      </c>
      <c r="B7" s="18">
        <f>资产明细!G13</f>
        <v>5326364.26</v>
      </c>
      <c r="C7" s="19">
        <f>IFERROR(B7/$B$11,"")</f>
        <v>0.418309512303863</v>
      </c>
    </row>
    <row r="8" ht="14.5" spans="1:3">
      <c r="A8" s="8" t="s">
        <v>8</v>
      </c>
      <c r="B8" s="18">
        <f>资产明细!G17</f>
        <v>2354000</v>
      </c>
      <c r="C8" s="19">
        <f>IFERROR(B8/$B$11,"")</f>
        <v>0.184872934687966</v>
      </c>
    </row>
    <row r="9" ht="14.5" spans="1:3">
      <c r="A9" s="8" t="s">
        <v>9</v>
      </c>
      <c r="B9" s="18">
        <f>资产明细!G22</f>
        <v>1899138.36</v>
      </c>
      <c r="C9" s="19">
        <f>IFERROR(B9/$B$11,"")</f>
        <v>0.149150077311678</v>
      </c>
    </row>
    <row r="10" ht="14.5" spans="1:3">
      <c r="A10" s="76" t="s">
        <v>10</v>
      </c>
      <c r="B10" s="18">
        <f>资产明细!G25</f>
        <v>1600567.28</v>
      </c>
      <c r="C10" s="19">
        <f>IFERROR(B10/$B$11,"")</f>
        <v>0.125701601622402</v>
      </c>
    </row>
    <row r="11" ht="14.5" spans="1:3">
      <c r="A11" s="78" t="s">
        <v>11</v>
      </c>
      <c r="B11" s="62">
        <f>SUM(B6:B10)</f>
        <v>12733069.9</v>
      </c>
      <c r="C11" s="79">
        <f>1</f>
        <v>1</v>
      </c>
    </row>
    <row r="12" ht="14.5" spans="1:3">
      <c r="A12" s="78" t="s">
        <v>12</v>
      </c>
      <c r="B12" s="62">
        <f>资产明细!G32</f>
        <v>0</v>
      </c>
      <c r="C12" s="61" t="s">
        <v>13</v>
      </c>
    </row>
    <row r="13" ht="14.5" spans="1:3">
      <c r="A13" s="81" t="s">
        <v>14</v>
      </c>
      <c r="B13" s="82">
        <f>B11-B12</f>
        <v>12733069.9</v>
      </c>
      <c r="C13" s="61" t="s">
        <v>13</v>
      </c>
    </row>
    <row r="14" ht="14.5" spans="1:3">
      <c r="A14" s="8" t="s">
        <v>15</v>
      </c>
      <c r="B14" s="18">
        <f>资产明细!G36</f>
        <v>9233364.26</v>
      </c>
      <c r="C14" s="15" t="s">
        <v>13</v>
      </c>
    </row>
    <row r="15" ht="14.5" spans="1:3">
      <c r="A15" s="8" t="s">
        <v>16</v>
      </c>
      <c r="B15" s="18">
        <f>资产明细!G37</f>
        <v>10015556.735</v>
      </c>
      <c r="C15" s="15" t="s">
        <v>13</v>
      </c>
    </row>
    <row r="16" ht="14.5" spans="1:3">
      <c r="A16" s="8" t="s">
        <v>17</v>
      </c>
      <c r="B16" s="18">
        <f>资产明细!G39</f>
        <v>1553774.36</v>
      </c>
      <c r="C16" s="15" t="s">
        <v>13</v>
      </c>
    </row>
    <row r="17" ht="20" customHeight="1" spans="1:3">
      <c r="A17" s="3" t="s">
        <v>18</v>
      </c>
    </row>
    <row r="18" ht="30" customHeight="1" spans="1:3">
      <c r="A18" s="7" t="s">
        <v>19</v>
      </c>
      <c r="B18" s="7" t="s">
        <v>20</v>
      </c>
      <c r="C18" s="7" t="s">
        <v>21</v>
      </c>
    </row>
    <row r="19" ht="14.5" spans="1:3">
      <c r="A19" s="8" t="s">
        <v>22</v>
      </c>
      <c r="B19" s="18">
        <f>FIRE测算!B14</f>
        <v>500000</v>
      </c>
      <c r="C19" s="11" t="s">
        <v>23</v>
      </c>
    </row>
    <row r="20" ht="14.5" spans="1:3">
      <c r="A20" s="8" t="s">
        <v>24</v>
      </c>
      <c r="B20" s="83">
        <f>FIRE测算!B6</f>
        <v>0.04</v>
      </c>
      <c r="C20" s="11" t="s">
        <v>25</v>
      </c>
    </row>
    <row r="21" ht="14.5" spans="1:3">
      <c r="A21" s="8" t="s">
        <v>26</v>
      </c>
      <c r="B21" s="18">
        <f>FIRE测算!B21</f>
        <v>12500000</v>
      </c>
      <c r="C21" s="11" t="s">
        <v>27</v>
      </c>
    </row>
    <row r="22" ht="26" spans="1:3">
      <c r="A22" s="8" t="s">
        <v>28</v>
      </c>
      <c r="B22" s="18">
        <f>FIRE测算!B26</f>
        <v>9233364.26</v>
      </c>
      <c r="C22" s="11" t="s">
        <v>29</v>
      </c>
    </row>
    <row r="23" ht="26" spans="1:3">
      <c r="A23" s="8" t="s">
        <v>30</v>
      </c>
      <c r="B23" s="48">
        <f>FIRE测算!B29</f>
        <v>1.0946491408</v>
      </c>
      <c r="C23" s="11" t="s">
        <v>31</v>
      </c>
    </row>
    <row r="24" ht="14.5" spans="1:3">
      <c r="A24" s="8" t="s">
        <v>32</v>
      </c>
      <c r="B24" s="18">
        <f>FIRE测算!B30</f>
        <v>3266635.74</v>
      </c>
      <c r="C24" s="11" t="s">
        <v>13</v>
      </c>
    </row>
    <row r="25" ht="14.5" spans="1:3">
      <c r="A25" s="8" t="s">
        <v>33</v>
      </c>
      <c r="B25" s="84">
        <f>FIRE测算!B43</f>
        <v>3.81415513153374</v>
      </c>
      <c r="C25" s="11" t="s">
        <v>13</v>
      </c>
    </row>
    <row r="26" ht="14.5" spans="1:3">
      <c r="A26" s="8" t="s">
        <v>34</v>
      </c>
      <c r="B26" s="85">
        <f ca="1">FIRE测算!B44</f>
        <v>47679</v>
      </c>
      <c r="C26" s="11" t="s">
        <v>13</v>
      </c>
    </row>
    <row r="27" ht="14.5" spans="1:3">
      <c r="A27" s="8" t="s">
        <v>35</v>
      </c>
      <c r="B27" s="86" t="str">
        <f>FIRE测算!B46</f>
        <v>49.8 岁</v>
      </c>
      <c r="C27" s="11" t="s">
        <v>13</v>
      </c>
    </row>
    <row r="28" ht="14.5" spans="1:3">
      <c r="A28" s="87" t="s">
        <v>36</v>
      </c>
      <c r="B28" s="88" t="str">
        <f>FIRE测算!B31</f>
        <v>已达成财务自由</v>
      </c>
      <c r="C28" s="45"/>
    </row>
    <row r="30" ht="20" customHeight="1" spans="1:3">
      <c r="A30" s="3" t="s">
        <v>37</v>
      </c>
    </row>
    <row r="31" ht="30" customHeight="1" spans="1:3">
      <c r="A31" s="7" t="s">
        <v>19</v>
      </c>
      <c r="B31" s="7" t="s">
        <v>20</v>
      </c>
      <c r="C31" s="7" t="s">
        <v>21</v>
      </c>
    </row>
    <row r="32" ht="26" spans="1:3">
      <c r="A32" s="8" t="s">
        <v>38</v>
      </c>
      <c r="B32" s="18">
        <f>资产明细!H27</f>
        <v>12210480</v>
      </c>
      <c r="C32" s="11" t="s">
        <v>39</v>
      </c>
    </row>
    <row r="33" ht="14.5" spans="1:3">
      <c r="A33" s="8" t="s">
        <v>40</v>
      </c>
      <c r="B33" s="18">
        <f>资产明细!G27</f>
        <v>12733069.9</v>
      </c>
      <c r="C33" s="11" t="s">
        <v>41</v>
      </c>
    </row>
    <row r="34" ht="39" spans="1:3">
      <c r="A34" s="8" t="s">
        <v>42</v>
      </c>
      <c r="B34" s="18">
        <f>资产明细!I27</f>
        <v>-1583774.36</v>
      </c>
      <c r="C34" s="11" t="s">
        <v>43</v>
      </c>
    </row>
    <row r="35" ht="26" spans="1:3">
      <c r="A35" s="8" t="s">
        <v>44</v>
      </c>
      <c r="B35" s="48">
        <f>资产明细!J27</f>
        <v>-0.129706150781951</v>
      </c>
      <c r="C35" s="11" t="s">
        <v>45</v>
      </c>
    </row>
    <row r="37" spans="1:3">
      <c r="A37" s="89" t="s">
        <v>46</v>
      </c>
    </row>
  </sheetData>
  <mergeCells count="6">
    <mergeCell ref="A1:F1"/>
    <mergeCell ref="A2:F2"/>
    <mergeCell ref="A4:F4"/>
    <mergeCell ref="A17:F17"/>
    <mergeCell ref="B28:C28"/>
    <mergeCell ref="A30:F30"/>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A1:M41"/>
  <sheetViews>
    <sheetView tabSelected="1" workbookViewId="0">
      <pane xSplit="2" ySplit="4" topLeftCell="C20" activePane="bottomRight" state="frozen"/>
      <selection/>
      <selection pane="topRight"/>
      <selection pane="bottomLeft"/>
      <selection pane="bottomRight" activeCell="D30" sqref="D30"/>
    </sheetView>
  </sheetViews>
  <sheetFormatPr defaultColWidth="9" defaultRowHeight="14"/>
  <cols>
    <col min="1" max="1" width="16" customWidth="1"/>
    <col min="2" max="2" width="26" customWidth="1"/>
    <col min="3" max="4" width="14" customWidth="1"/>
    <col min="5" max="5" width="8" customWidth="1"/>
    <col min="6" max="6" width="10" customWidth="1"/>
    <col min="7" max="7" width="18" customWidth="1"/>
    <col min="8" max="8" width="16" customWidth="1"/>
    <col min="9" max="9" width="14" customWidth="1"/>
    <col min="10" max="11" width="10" customWidth="1"/>
    <col min="12" max="12" width="8" customWidth="1"/>
    <col min="13" max="13" width="46" customWidth="1"/>
  </cols>
  <sheetData>
    <row r="1" ht="26" customHeight="1" spans="1:13">
      <c r="A1" s="1" t="s">
        <v>47</v>
      </c>
    </row>
    <row r="2" ht="16" customHeight="1" spans="1:13">
      <c r="A2" s="2" t="s">
        <v>48</v>
      </c>
    </row>
    <row r="4" ht="30" customHeight="1" spans="1:13">
      <c r="A4" s="7" t="s">
        <v>49</v>
      </c>
      <c r="B4" s="7" t="s">
        <v>50</v>
      </c>
      <c r="C4" s="7" t="s">
        <v>51</v>
      </c>
      <c r="D4" s="7" t="s">
        <v>52</v>
      </c>
      <c r="E4" s="7" t="s">
        <v>53</v>
      </c>
      <c r="F4" s="7" t="s">
        <v>54</v>
      </c>
      <c r="G4" s="7" t="s">
        <v>55</v>
      </c>
      <c r="H4" s="7" t="s">
        <v>56</v>
      </c>
      <c r="I4" s="7" t="s">
        <v>57</v>
      </c>
      <c r="J4" s="7" t="s">
        <v>58</v>
      </c>
      <c r="K4" s="7" t="s">
        <v>59</v>
      </c>
      <c r="L4" s="7" t="s">
        <v>60</v>
      </c>
      <c r="M4" s="7" t="s">
        <v>61</v>
      </c>
    </row>
    <row r="5" ht="14.5" spans="1:13">
      <c r="A5" s="70" t="s">
        <v>6</v>
      </c>
      <c r="B5" s="44"/>
      <c r="C5" s="44"/>
      <c r="D5" s="44"/>
      <c r="E5" s="44"/>
      <c r="F5" s="44"/>
      <c r="G5" s="44"/>
      <c r="H5" s="44"/>
      <c r="I5" s="44"/>
      <c r="J5" s="44"/>
      <c r="K5" s="44"/>
      <c r="L5" s="44"/>
      <c r="M5" s="45"/>
    </row>
    <row r="6" ht="14.5" spans="1:13">
      <c r="A6" s="59" t="s">
        <v>6</v>
      </c>
      <c r="B6" s="59" t="s">
        <v>62</v>
      </c>
      <c r="C6" s="71">
        <v>1</v>
      </c>
      <c r="D6" s="64">
        <v>1310000</v>
      </c>
      <c r="E6" s="42" t="s">
        <v>63</v>
      </c>
      <c r="F6" s="72">
        <v>1</v>
      </c>
      <c r="G6" s="27">
        <f>C6*D6*F6</f>
        <v>1310000</v>
      </c>
      <c r="H6" s="65">
        <v>1310000</v>
      </c>
      <c r="I6" s="27">
        <f>IF(H6="","",G6-H6)</f>
        <v>0</v>
      </c>
      <c r="J6" s="29">
        <f>IFERROR(I6/H6,"")</f>
        <v>0</v>
      </c>
      <c r="K6" s="37">
        <f>IFERROR(G6/$G$27,"")</f>
        <v>0.102881709618197</v>
      </c>
      <c r="L6" s="33" t="s">
        <v>64</v>
      </c>
      <c r="M6" s="40" t="s">
        <v>65</v>
      </c>
    </row>
    <row r="7" ht="14.5" spans="1:13">
      <c r="A7" s="59" t="s">
        <v>6</v>
      </c>
      <c r="B7" s="59" t="s">
        <v>66</v>
      </c>
      <c r="C7" s="71">
        <v>1</v>
      </c>
      <c r="D7" s="64">
        <v>243000</v>
      </c>
      <c r="E7" s="42" t="s">
        <v>63</v>
      </c>
      <c r="F7" s="72">
        <v>1</v>
      </c>
      <c r="G7" s="27">
        <f>C7*D7*F7</f>
        <v>243000</v>
      </c>
      <c r="H7" s="65">
        <v>243000</v>
      </c>
      <c r="I7" s="27">
        <f>IF(H7="","",G7-H7)</f>
        <v>0</v>
      </c>
      <c r="J7" s="29">
        <f>IFERROR(I7/H7,"")</f>
        <v>0</v>
      </c>
      <c r="K7" s="37">
        <f>IFERROR(G7/$G$27,"")</f>
        <v>0.0190841644558945</v>
      </c>
      <c r="L7" s="33" t="s">
        <v>64</v>
      </c>
      <c r="M7" s="40" t="s">
        <v>65</v>
      </c>
    </row>
    <row r="8" ht="14.5" spans="1:13">
      <c r="A8" s="8" t="s">
        <v>67</v>
      </c>
      <c r="B8" s="15" t="s">
        <v>13</v>
      </c>
      <c r="C8" s="15" t="s">
        <v>13</v>
      </c>
      <c r="D8" s="15" t="s">
        <v>13</v>
      </c>
      <c r="E8" s="15" t="s">
        <v>13</v>
      </c>
      <c r="F8" s="15" t="s">
        <v>13</v>
      </c>
      <c r="G8" s="73">
        <f>SUM(G6:G7)</f>
        <v>1553000</v>
      </c>
      <c r="H8" s="73">
        <f>SUM(H6:H7)</f>
        <v>1553000</v>
      </c>
      <c r="I8" s="73">
        <f>SUM(I6:I7)</f>
        <v>0</v>
      </c>
      <c r="J8" s="74">
        <f>IFERROR(I8/H8,"")</f>
        <v>0</v>
      </c>
      <c r="K8" s="75">
        <f>IFERROR(G8/$G$27,"")</f>
        <v>0.121965874074091</v>
      </c>
      <c r="L8" s="15" t="s">
        <v>13</v>
      </c>
      <c r="M8" s="15" t="s">
        <v>13</v>
      </c>
    </row>
    <row r="9" ht="14.5" spans="1:13">
      <c r="A9" s="70" t="s">
        <v>7</v>
      </c>
      <c r="B9" s="44"/>
      <c r="C9" s="44"/>
      <c r="D9" s="44"/>
      <c r="E9" s="44"/>
      <c r="F9" s="44"/>
      <c r="G9" s="44"/>
      <c r="H9" s="44"/>
      <c r="I9" s="44"/>
      <c r="J9" s="44"/>
      <c r="K9" s="44"/>
      <c r="L9" s="44"/>
      <c r="M9" s="45"/>
    </row>
    <row r="10" ht="14.5" spans="1:13">
      <c r="A10" s="59" t="s">
        <v>7</v>
      </c>
      <c r="B10" s="59" t="s">
        <v>68</v>
      </c>
      <c r="C10" s="71">
        <v>4004</v>
      </c>
      <c r="D10" s="64">
        <v>107</v>
      </c>
      <c r="E10" s="42" t="s">
        <v>69</v>
      </c>
      <c r="F10" s="72">
        <v>0.92</v>
      </c>
      <c r="G10" s="27">
        <f>C10*D10*F10</f>
        <v>394153.76</v>
      </c>
      <c r="H10" s="39"/>
      <c r="I10" s="27" t="str">
        <f>IF(H10="","",G10-H10)</f>
        <v/>
      </c>
      <c r="J10" s="29" t="str">
        <f>IFERROR(I10/H10,"")</f>
        <v/>
      </c>
      <c r="K10" s="37">
        <f>IFERROR(G10/$G$27,"")</f>
        <v>0.030955124184153</v>
      </c>
      <c r="L10" s="33" t="s">
        <v>64</v>
      </c>
      <c r="M10" s="40" t="s">
        <v>70</v>
      </c>
    </row>
    <row r="11" ht="14.5" spans="1:13">
      <c r="A11" s="59" t="s">
        <v>7</v>
      </c>
      <c r="B11" s="59" t="s">
        <v>71</v>
      </c>
      <c r="C11" s="71">
        <v>2177</v>
      </c>
      <c r="D11" s="64">
        <v>110</v>
      </c>
      <c r="E11" s="42" t="s">
        <v>72</v>
      </c>
      <c r="F11" s="72">
        <v>7.15</v>
      </c>
      <c r="G11" s="27">
        <f>C11*D11*F11</f>
        <v>1712210.5</v>
      </c>
      <c r="H11" s="39"/>
      <c r="I11" s="27" t="str">
        <f>IF(H11="","",G11-H11)</f>
        <v/>
      </c>
      <c r="J11" s="29" t="str">
        <f>IFERROR(I11/H11,"")</f>
        <v/>
      </c>
      <c r="K11" s="37">
        <f>IFERROR(G11/$G$27,"")</f>
        <v>0.134469575165059</v>
      </c>
      <c r="L11" s="33" t="s">
        <v>64</v>
      </c>
      <c r="M11" s="40" t="s">
        <v>73</v>
      </c>
    </row>
    <row r="12" ht="14.5" spans="1:13">
      <c r="A12" s="59" t="s">
        <v>7</v>
      </c>
      <c r="B12" s="59" t="s">
        <v>74</v>
      </c>
      <c r="C12" s="71">
        <v>1</v>
      </c>
      <c r="D12" s="64">
        <v>3220000</v>
      </c>
      <c r="E12" s="42" t="s">
        <v>63</v>
      </c>
      <c r="F12" s="72">
        <v>1</v>
      </c>
      <c r="G12" s="27">
        <f>C12*D12*F12</f>
        <v>3220000</v>
      </c>
      <c r="H12" s="65">
        <v>3804000</v>
      </c>
      <c r="I12" s="27">
        <f>IF(H12="","",G12-H12)</f>
        <v>-584000</v>
      </c>
      <c r="J12" s="29">
        <f>IFERROR(I12/H12,"")</f>
        <v>-0.153522607781283</v>
      </c>
      <c r="K12" s="37">
        <f>IFERROR(G12/$G$27,"")</f>
        <v>0.252884812954651</v>
      </c>
      <c r="L12" s="33" t="s">
        <v>64</v>
      </c>
      <c r="M12" s="40" t="s">
        <v>75</v>
      </c>
    </row>
    <row r="13" ht="14.5" spans="1:13">
      <c r="A13" s="8" t="s">
        <v>76</v>
      </c>
      <c r="B13" s="15" t="s">
        <v>13</v>
      </c>
      <c r="C13" s="15" t="s">
        <v>13</v>
      </c>
      <c r="D13" s="15" t="s">
        <v>13</v>
      </c>
      <c r="E13" s="15" t="s">
        <v>13</v>
      </c>
      <c r="F13" s="15" t="s">
        <v>13</v>
      </c>
      <c r="G13" s="73">
        <f>SUM(G10:G12)</f>
        <v>5326364.26</v>
      </c>
      <c r="H13" s="73">
        <f>SUM(H10:H12)</f>
        <v>3804000</v>
      </c>
      <c r="I13" s="73">
        <f>SUM(I10:I12)</f>
        <v>-584000</v>
      </c>
      <c r="J13" s="74">
        <f>IFERROR(I13/H13,"")</f>
        <v>-0.153522607781283</v>
      </c>
      <c r="K13" s="75">
        <f>IFERROR(G13/$G$27,"")</f>
        <v>0.418309512303863</v>
      </c>
      <c r="L13" s="15" t="s">
        <v>13</v>
      </c>
      <c r="M13" s="15" t="s">
        <v>13</v>
      </c>
    </row>
    <row r="14" ht="14.5" spans="1:13">
      <c r="A14" s="70" t="s">
        <v>8</v>
      </c>
      <c r="B14" s="44"/>
      <c r="C14" s="44"/>
      <c r="D14" s="44"/>
      <c r="E14" s="44"/>
      <c r="F14" s="44"/>
      <c r="G14" s="44"/>
      <c r="H14" s="44"/>
      <c r="I14" s="44"/>
      <c r="J14" s="44"/>
      <c r="K14" s="44"/>
      <c r="L14" s="44"/>
      <c r="M14" s="45"/>
    </row>
    <row r="15" ht="14.5" spans="1:13">
      <c r="A15" s="59" t="s">
        <v>8</v>
      </c>
      <c r="B15" s="59" t="s">
        <v>77</v>
      </c>
      <c r="C15" s="71">
        <v>1</v>
      </c>
      <c r="D15" s="64">
        <v>1510000</v>
      </c>
      <c r="E15" s="42" t="s">
        <v>63</v>
      </c>
      <c r="F15" s="72">
        <v>1</v>
      </c>
      <c r="G15" s="27">
        <f>C15*D15*F15</f>
        <v>1510000</v>
      </c>
      <c r="H15" s="65">
        <v>1000000</v>
      </c>
      <c r="I15" s="27">
        <f>IF(H15="","",G15-H15)</f>
        <v>510000</v>
      </c>
      <c r="J15" s="29">
        <f>IFERROR(I15/H15,"")</f>
        <v>0.51</v>
      </c>
      <c r="K15" s="37">
        <f>IFERROR(G15/$G$27,"")</f>
        <v>0.118588840857616</v>
      </c>
      <c r="L15" s="33" t="s">
        <v>78</v>
      </c>
      <c r="M15" s="40" t="s">
        <v>79</v>
      </c>
    </row>
    <row r="16" ht="14.5" spans="1:13">
      <c r="A16" s="59" t="s">
        <v>8</v>
      </c>
      <c r="B16" s="59" t="s">
        <v>80</v>
      </c>
      <c r="C16" s="71">
        <v>1</v>
      </c>
      <c r="D16" s="64">
        <v>844000</v>
      </c>
      <c r="E16" s="42" t="s">
        <v>63</v>
      </c>
      <c r="F16" s="72">
        <v>1</v>
      </c>
      <c r="G16" s="27">
        <f>C16*D16*F16</f>
        <v>844000</v>
      </c>
      <c r="H16" s="65">
        <v>800000</v>
      </c>
      <c r="I16" s="27">
        <f>IF(H16="","",G16-H16)</f>
        <v>44000</v>
      </c>
      <c r="J16" s="29">
        <f>IFERROR(I16/H16,"")</f>
        <v>0.055</v>
      </c>
      <c r="K16" s="37">
        <f>IFERROR(G16/$G$27,"")</f>
        <v>0.0662840938303496</v>
      </c>
      <c r="L16" s="33" t="s">
        <v>78</v>
      </c>
      <c r="M16" s="40" t="s">
        <v>81</v>
      </c>
    </row>
    <row r="17" ht="14.5" spans="1:13">
      <c r="A17" s="8" t="s">
        <v>82</v>
      </c>
      <c r="B17" s="15" t="s">
        <v>13</v>
      </c>
      <c r="C17" s="15" t="s">
        <v>13</v>
      </c>
      <c r="D17" s="15" t="s">
        <v>13</v>
      </c>
      <c r="E17" s="15" t="s">
        <v>13</v>
      </c>
      <c r="F17" s="15" t="s">
        <v>13</v>
      </c>
      <c r="G17" s="73">
        <f>SUM(G15:G16)</f>
        <v>2354000</v>
      </c>
      <c r="H17" s="73">
        <f>SUM(H15:H16)</f>
        <v>1800000</v>
      </c>
      <c r="I17" s="73">
        <f>SUM(I15:I16)</f>
        <v>554000</v>
      </c>
      <c r="J17" s="74">
        <f>IFERROR(I17/H17,"")</f>
        <v>0.307777777777778</v>
      </c>
      <c r="K17" s="75">
        <f>IFERROR(G17/$G$27,"")</f>
        <v>0.184872934687966</v>
      </c>
      <c r="L17" s="15" t="s">
        <v>13</v>
      </c>
      <c r="M17" s="15" t="s">
        <v>13</v>
      </c>
    </row>
    <row r="18" ht="14.5" spans="1:13">
      <c r="A18" s="70" t="s">
        <v>83</v>
      </c>
      <c r="B18" s="44"/>
      <c r="C18" s="44"/>
      <c r="D18" s="44"/>
      <c r="E18" s="44"/>
      <c r="F18" s="44"/>
      <c r="G18" s="44"/>
      <c r="H18" s="44"/>
      <c r="I18" s="44"/>
      <c r="J18" s="44"/>
      <c r="K18" s="44"/>
      <c r="L18" s="44"/>
      <c r="M18" s="45"/>
    </row>
    <row r="19" ht="26" spans="1:13">
      <c r="A19" s="59" t="s">
        <v>83</v>
      </c>
      <c r="B19" s="59" t="s">
        <v>84</v>
      </c>
      <c r="C19" s="71">
        <v>1</v>
      </c>
      <c r="D19" s="64">
        <v>35603.36</v>
      </c>
      <c r="E19" s="42" t="s">
        <v>63</v>
      </c>
      <c r="F19" s="72">
        <v>1</v>
      </c>
      <c r="G19" s="27">
        <f>C19*D19*F19</f>
        <v>35603.36</v>
      </c>
      <c r="H19" s="65">
        <v>40000</v>
      </c>
      <c r="I19" s="27">
        <f>IF(H19="","",G19-H19)</f>
        <v>-4396.64</v>
      </c>
      <c r="J19" s="29">
        <f>IFERROR(I19/H19,"")</f>
        <v>-0.109916</v>
      </c>
      <c r="K19" s="37">
        <f>IFERROR(G19/$G$27,"")</f>
        <v>0.00279613324042146</v>
      </c>
      <c r="L19" s="33" t="s">
        <v>85</v>
      </c>
      <c r="M19" s="40" t="s">
        <v>86</v>
      </c>
    </row>
    <row r="20" ht="26" spans="1:13">
      <c r="A20" s="59" t="s">
        <v>83</v>
      </c>
      <c r="B20" s="59" t="s">
        <v>87</v>
      </c>
      <c r="C20" s="71">
        <v>1</v>
      </c>
      <c r="D20" s="64">
        <v>1862535</v>
      </c>
      <c r="E20" s="42" t="s">
        <v>63</v>
      </c>
      <c r="F20" s="72">
        <v>1</v>
      </c>
      <c r="G20" s="27">
        <f>C20*D20*F20</f>
        <v>1862535</v>
      </c>
      <c r="H20" s="65">
        <v>3012480</v>
      </c>
      <c r="I20" s="27">
        <f>IF(H20="","",G20-H20)</f>
        <v>-1149945</v>
      </c>
      <c r="J20" s="29">
        <f>IFERROR(I20/H20,"")</f>
        <v>-0.381727015615041</v>
      </c>
      <c r="K20" s="37">
        <f>IFERROR(G20/$G$27,"")</f>
        <v>0.146275408415059</v>
      </c>
      <c r="L20" s="33" t="s">
        <v>85</v>
      </c>
      <c r="M20" s="40" t="s">
        <v>88</v>
      </c>
    </row>
    <row r="21" ht="26" spans="1:13">
      <c r="A21" s="59" t="s">
        <v>83</v>
      </c>
      <c r="B21" s="59" t="s">
        <v>89</v>
      </c>
      <c r="C21" s="71">
        <v>1</v>
      </c>
      <c r="D21" s="64">
        <v>1000</v>
      </c>
      <c r="E21" s="42" t="s">
        <v>63</v>
      </c>
      <c r="F21" s="72">
        <v>1</v>
      </c>
      <c r="G21" s="27">
        <f>C21*D21*F21</f>
        <v>1000</v>
      </c>
      <c r="H21" s="65">
        <v>1000</v>
      </c>
      <c r="I21" s="27">
        <f>IF(H21="","",G21-H21)</f>
        <v>0</v>
      </c>
      <c r="J21" s="29">
        <f>IFERROR(I21/H21,"")</f>
        <v>0</v>
      </c>
      <c r="K21" s="37">
        <f>IFERROR(G21/$G$27,"")</f>
        <v>7.85356561970967e-5</v>
      </c>
      <c r="L21" s="33" t="s">
        <v>85</v>
      </c>
      <c r="M21" s="40" t="s">
        <v>90</v>
      </c>
    </row>
    <row r="22" ht="14.5" spans="1:13">
      <c r="A22" s="8" t="s">
        <v>91</v>
      </c>
      <c r="B22" s="15" t="s">
        <v>13</v>
      </c>
      <c r="C22" s="15" t="s">
        <v>13</v>
      </c>
      <c r="D22" s="15" t="s">
        <v>13</v>
      </c>
      <c r="E22" s="15" t="s">
        <v>13</v>
      </c>
      <c r="F22" s="15" t="s">
        <v>13</v>
      </c>
      <c r="G22" s="73">
        <f>SUM(G19:G21)</f>
        <v>1899138.36</v>
      </c>
      <c r="H22" s="73">
        <f>SUM(H19:H21)</f>
        <v>3053480</v>
      </c>
      <c r="I22" s="73">
        <f>SUM(I19:I21)</f>
        <v>-1154341.64</v>
      </c>
      <c r="J22" s="74">
        <f>IFERROR(I22/H22,"")</f>
        <v>-0.378041329892451</v>
      </c>
      <c r="K22" s="75">
        <f>IFERROR(G22/$G$27,"")</f>
        <v>0.149150077311678</v>
      </c>
      <c r="L22" s="15" t="s">
        <v>13</v>
      </c>
      <c r="M22" s="15" t="s">
        <v>13</v>
      </c>
    </row>
    <row r="23" ht="14.5" spans="1:13">
      <c r="A23" s="76" t="s">
        <v>92</v>
      </c>
      <c r="B23" s="44"/>
      <c r="C23" s="44"/>
      <c r="D23" s="44"/>
      <c r="E23" s="44"/>
      <c r="F23" s="44"/>
      <c r="G23" s="44"/>
      <c r="H23" s="44"/>
      <c r="I23" s="44"/>
      <c r="J23" s="44"/>
      <c r="K23" s="44"/>
      <c r="L23" s="44"/>
      <c r="M23" s="45"/>
    </row>
    <row r="24" ht="39" spans="1:13">
      <c r="A24" s="77" t="s">
        <v>92</v>
      </c>
      <c r="B24" s="77" t="s">
        <v>93</v>
      </c>
      <c r="C24" s="71">
        <v>1</v>
      </c>
      <c r="D24" s="64">
        <v>1600567.28</v>
      </c>
      <c r="E24" s="42" t="s">
        <v>63</v>
      </c>
      <c r="F24" s="72">
        <v>1</v>
      </c>
      <c r="G24" s="27">
        <f>C24*D24*F24</f>
        <v>1600567.28</v>
      </c>
      <c r="H24" s="65">
        <v>2000000</v>
      </c>
      <c r="I24" s="27">
        <f>IF(H24="","",G24-H24)</f>
        <v>-399432.72</v>
      </c>
      <c r="J24" s="29">
        <f>IFERROR(I24/H24,"")</f>
        <v>-0.19971636</v>
      </c>
      <c r="K24" s="37">
        <f>IFERROR(G24/$G$27,"")</f>
        <v>0.125701601622402</v>
      </c>
      <c r="L24" s="33" t="s">
        <v>85</v>
      </c>
      <c r="M24" s="40" t="s">
        <v>94</v>
      </c>
    </row>
    <row r="25" ht="14.5" spans="1:13">
      <c r="A25" s="8" t="s">
        <v>95</v>
      </c>
      <c r="B25" s="15" t="s">
        <v>13</v>
      </c>
      <c r="C25" s="15" t="s">
        <v>13</v>
      </c>
      <c r="D25" s="15" t="s">
        <v>13</v>
      </c>
      <c r="E25" s="15" t="s">
        <v>13</v>
      </c>
      <c r="F25" s="15" t="s">
        <v>13</v>
      </c>
      <c r="G25" s="73">
        <f>SUM(G24:G24)</f>
        <v>1600567.28</v>
      </c>
      <c r="H25" s="73">
        <f>SUM(H24:H24)</f>
        <v>2000000</v>
      </c>
      <c r="I25" s="73">
        <f>SUM(I24:I24)</f>
        <v>-399432.72</v>
      </c>
      <c r="J25" s="74">
        <f>IFERROR(I25/H25,"")</f>
        <v>-0.19971636</v>
      </c>
      <c r="K25" s="75">
        <f>IFERROR(G25/$G$27,"")</f>
        <v>0.125701601622402</v>
      </c>
      <c r="L25" s="15" t="s">
        <v>13</v>
      </c>
      <c r="M25" s="15" t="s">
        <v>13</v>
      </c>
    </row>
    <row r="27" ht="27" spans="1:13">
      <c r="A27" s="78" t="s">
        <v>11</v>
      </c>
      <c r="B27" s="61" t="s">
        <v>13</v>
      </c>
      <c r="C27" s="61" t="s">
        <v>13</v>
      </c>
      <c r="D27" s="61" t="s">
        <v>13</v>
      </c>
      <c r="E27" s="61" t="s">
        <v>13</v>
      </c>
      <c r="F27" s="61" t="s">
        <v>13</v>
      </c>
      <c r="G27" s="62">
        <f>G8+G13+G17+G22+G25</f>
        <v>12733069.9</v>
      </c>
      <c r="H27" s="62">
        <f>H8+H13+H17+H22+H25</f>
        <v>12210480</v>
      </c>
      <c r="I27" s="62">
        <f>I8+I13+I17+I22+I25</f>
        <v>-1583774.36</v>
      </c>
      <c r="J27" s="79">
        <f>IFERROR(I27/H27,"")</f>
        <v>-0.129706150781951</v>
      </c>
      <c r="K27" s="79">
        <f>1</f>
        <v>1</v>
      </c>
      <c r="L27" s="61" t="s">
        <v>13</v>
      </c>
      <c r="M27" s="80" t="s">
        <v>96</v>
      </c>
    </row>
    <row r="29" ht="14.5" spans="1:13">
      <c r="A29" s="70" t="s">
        <v>97</v>
      </c>
      <c r="B29" s="44"/>
      <c r="C29" s="44"/>
      <c r="D29" s="44"/>
      <c r="E29" s="44"/>
      <c r="F29" s="44"/>
      <c r="G29" s="44"/>
      <c r="H29" s="44"/>
      <c r="I29" s="44"/>
      <c r="J29" s="44"/>
      <c r="K29" s="44"/>
      <c r="L29" s="44"/>
      <c r="M29" s="45"/>
    </row>
    <row r="30" ht="14.5" spans="1:13">
      <c r="A30" s="59" t="s">
        <v>97</v>
      </c>
      <c r="B30" s="59" t="s">
        <v>98</v>
      </c>
      <c r="C30" s="71">
        <v>1</v>
      </c>
      <c r="D30" s="64">
        <v>0</v>
      </c>
      <c r="E30" s="42" t="s">
        <v>63</v>
      </c>
      <c r="F30" s="72">
        <v>1</v>
      </c>
      <c r="G30" s="27">
        <f>C30*D30*F30</f>
        <v>0</v>
      </c>
      <c r="H30" s="39" t="s">
        <v>13</v>
      </c>
      <c r="I30" s="36" t="s">
        <v>13</v>
      </c>
      <c r="J30" s="37" t="s">
        <v>13</v>
      </c>
      <c r="K30" s="37" t="s">
        <v>13</v>
      </c>
      <c r="L30" s="33" t="s">
        <v>13</v>
      </c>
      <c r="M30" s="40" t="s">
        <v>99</v>
      </c>
    </row>
    <row r="31" ht="14.5" spans="1:13">
      <c r="A31" s="59" t="s">
        <v>97</v>
      </c>
      <c r="B31" s="59" t="s">
        <v>100</v>
      </c>
      <c r="C31" s="71">
        <v>1</v>
      </c>
      <c r="D31" s="64">
        <v>0</v>
      </c>
      <c r="E31" s="42" t="s">
        <v>63</v>
      </c>
      <c r="F31" s="72">
        <v>1</v>
      </c>
      <c r="G31" s="27">
        <f>C31*D31*F31</f>
        <v>0</v>
      </c>
      <c r="H31" s="39" t="s">
        <v>13</v>
      </c>
      <c r="I31" s="36" t="s">
        <v>13</v>
      </c>
      <c r="J31" s="37" t="s">
        <v>13</v>
      </c>
      <c r="K31" s="37" t="s">
        <v>13</v>
      </c>
      <c r="L31" s="33" t="s">
        <v>13</v>
      </c>
      <c r="M31" s="40" t="s">
        <v>99</v>
      </c>
    </row>
    <row r="32" ht="14.5" spans="1:13">
      <c r="A32" s="78" t="s">
        <v>12</v>
      </c>
      <c r="B32" s="61" t="s">
        <v>13</v>
      </c>
      <c r="C32" s="61" t="s">
        <v>13</v>
      </c>
      <c r="D32" s="61" t="s">
        <v>13</v>
      </c>
      <c r="E32" s="61" t="s">
        <v>13</v>
      </c>
      <c r="F32" s="61" t="s">
        <v>13</v>
      </c>
      <c r="G32" s="62">
        <f>SUM(G30:G31)</f>
        <v>0</v>
      </c>
      <c r="H32" s="61" t="s">
        <v>13</v>
      </c>
      <c r="I32" s="61" t="s">
        <v>13</v>
      </c>
      <c r="J32" s="61" t="s">
        <v>13</v>
      </c>
      <c r="K32" s="61" t="s">
        <v>13</v>
      </c>
      <c r="L32" s="61" t="s">
        <v>13</v>
      </c>
      <c r="M32" s="61" t="s">
        <v>13</v>
      </c>
    </row>
    <row r="33" ht="14.5" spans="1:13">
      <c r="A33" s="81" t="s">
        <v>14</v>
      </c>
      <c r="B33" s="61" t="s">
        <v>13</v>
      </c>
      <c r="C33" s="61" t="s">
        <v>13</v>
      </c>
      <c r="D33" s="61" t="s">
        <v>13</v>
      </c>
      <c r="E33" s="61" t="s">
        <v>13</v>
      </c>
      <c r="F33" s="61" t="s">
        <v>13</v>
      </c>
      <c r="G33" s="82">
        <f>G27-G32</f>
        <v>12733069.9</v>
      </c>
      <c r="H33" s="61" t="s">
        <v>13</v>
      </c>
      <c r="I33" s="61" t="s">
        <v>13</v>
      </c>
      <c r="J33" s="61" t="s">
        <v>13</v>
      </c>
      <c r="K33" s="61" t="s">
        <v>13</v>
      </c>
      <c r="L33" s="61" t="s">
        <v>13</v>
      </c>
      <c r="M33" s="61" t="s">
        <v>101</v>
      </c>
    </row>
    <row r="35" ht="20" customHeight="1" spans="1:13">
      <c r="A35" s="3" t="s">
        <v>102</v>
      </c>
    </row>
    <row r="36" ht="14.5" spans="1:13">
      <c r="A36" s="8" t="s">
        <v>103</v>
      </c>
      <c r="B36" s="44"/>
      <c r="C36" s="44"/>
      <c r="D36" s="44"/>
      <c r="E36" s="44"/>
      <c r="F36" s="45"/>
      <c r="G36" s="17">
        <f>G8+G13+G17</f>
        <v>9233364.26</v>
      </c>
      <c r="H36" s="11" t="s">
        <v>104</v>
      </c>
    </row>
    <row r="37" ht="14.5" spans="1:13">
      <c r="A37" s="8" t="s">
        <v>105</v>
      </c>
      <c r="B37" s="44"/>
      <c r="C37" s="44"/>
      <c r="D37" s="44"/>
      <c r="E37" s="44"/>
      <c r="F37" s="45"/>
      <c r="G37" s="17">
        <f>G8+G13*0.95+G17*0.8+G22*0.8</f>
        <v>10015556.735</v>
      </c>
      <c r="H37" s="11" t="s">
        <v>106</v>
      </c>
    </row>
    <row r="38" ht="14.5" spans="1:13">
      <c r="A38" s="8" t="s">
        <v>107</v>
      </c>
      <c r="B38" s="44"/>
      <c r="C38" s="44"/>
      <c r="D38" s="44"/>
      <c r="E38" s="44"/>
      <c r="F38" s="45"/>
      <c r="G38" s="17">
        <f>G25</f>
        <v>1600567.28</v>
      </c>
      <c r="H38" s="11" t="s">
        <v>108</v>
      </c>
    </row>
    <row r="39" ht="14.5" spans="1:13">
      <c r="A39" s="8" t="s">
        <v>17</v>
      </c>
      <c r="B39" s="44"/>
      <c r="C39" s="44"/>
      <c r="D39" s="44"/>
      <c r="E39" s="44"/>
      <c r="F39" s="45"/>
      <c r="G39" s="17">
        <f>(H22+H25)-(G22+G25)</f>
        <v>1553774.36</v>
      </c>
      <c r="H39" s="11" t="s">
        <v>109</v>
      </c>
    </row>
    <row r="40" ht="14.5" spans="1:13">
      <c r="A40" s="8" t="s">
        <v>110</v>
      </c>
      <c r="B40" s="44"/>
      <c r="C40" s="44"/>
      <c r="D40" s="44"/>
      <c r="E40" s="44"/>
      <c r="F40" s="45"/>
      <c r="G40" s="19">
        <f>IFERROR(G13/(G8+G13+G17),"")</f>
        <v>0.576860623063949</v>
      </c>
      <c r="H40" s="11" t="s">
        <v>111</v>
      </c>
    </row>
    <row r="41" ht="14.5" spans="1:13">
      <c r="A41" s="8" t="s">
        <v>112</v>
      </c>
      <c r="B41" s="44"/>
      <c r="C41" s="44"/>
      <c r="D41" s="44"/>
      <c r="E41" s="44"/>
      <c r="F41" s="45"/>
      <c r="G41" s="22">
        <f>IFERROR(G8/FIRE年支出,"")</f>
        <v>3.106</v>
      </c>
      <c r="H41" s="11" t="s">
        <v>113</v>
      </c>
    </row>
  </sheetData>
  <mergeCells count="21">
    <mergeCell ref="A1:M1"/>
    <mergeCell ref="A2:M2"/>
    <mergeCell ref="A5:M5"/>
    <mergeCell ref="A9:M9"/>
    <mergeCell ref="A14:M14"/>
    <mergeCell ref="A18:M18"/>
    <mergeCell ref="A23:M23"/>
    <mergeCell ref="A29:M29"/>
    <mergeCell ref="A35:M35"/>
    <mergeCell ref="A36:F36"/>
    <mergeCell ref="H36:M36"/>
    <mergeCell ref="A37:F37"/>
    <mergeCell ref="H37:M37"/>
    <mergeCell ref="A38:F38"/>
    <mergeCell ref="H38:M38"/>
    <mergeCell ref="A39:F39"/>
    <mergeCell ref="H39:M39"/>
    <mergeCell ref="A40:F40"/>
    <mergeCell ref="H40:M40"/>
    <mergeCell ref="A41:F41"/>
    <mergeCell ref="H41:M41"/>
  </mergeCells>
  <dataValidations count="2">
    <dataValidation type="list" allowBlank="1" sqref="E24 E6:E7 E10:E12 E15:E16 E19:E21 E30:E31">
      <formula1>"CNY,HKD,USD"</formula1>
    </dataValidation>
    <dataValidation type="list" allowBlank="1" sqref="L24 L6:L7 L10:L12 L15:L16 L19:L21">
      <formula1>"高,中,低"</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N62"/>
  <sheetViews>
    <sheetView workbookViewId="0">
      <pane ySplit="5" topLeftCell="A13" activePane="bottomLeft" state="frozen"/>
      <selection/>
      <selection pane="bottomLeft" activeCell="A1" sqref="A1:N1"/>
    </sheetView>
  </sheetViews>
  <sheetFormatPr defaultColWidth="9" defaultRowHeight="14"/>
  <cols>
    <col min="1" max="1" width="6" customWidth="1"/>
    <col min="2" max="2" width="12" customWidth="1"/>
    <col min="3" max="3" width="14" customWidth="1"/>
    <col min="4" max="4" width="16" customWidth="1"/>
    <col min="5" max="5" width="28" customWidth="1"/>
    <col min="6" max="6" width="12" customWidth="1"/>
    <col min="7" max="7" width="14" customWidth="1"/>
    <col min="8" max="8" width="12" customWidth="1"/>
    <col min="9" max="12" width="14" customWidth="1"/>
    <col min="13" max="13" width="16" customWidth="1"/>
    <col min="14" max="14" width="60" customWidth="1"/>
  </cols>
  <sheetData>
    <row r="1" ht="26" customHeight="1" spans="1:14">
      <c r="A1" s="1" t="s">
        <v>114</v>
      </c>
    </row>
    <row r="2" ht="16" customHeight="1" spans="1:14">
      <c r="A2" s="2" t="s">
        <v>115</v>
      </c>
    </row>
    <row r="4" ht="20" customHeight="1" spans="1:14">
      <c r="A4" s="3" t="s">
        <v>116</v>
      </c>
    </row>
    <row r="5" ht="30" customHeight="1" spans="1:14">
      <c r="A5" s="7" t="s">
        <v>117</v>
      </c>
      <c r="B5" s="7" t="s">
        <v>118</v>
      </c>
      <c r="C5" s="7" t="s">
        <v>119</v>
      </c>
      <c r="D5" s="7" t="s">
        <v>120</v>
      </c>
      <c r="E5" s="7" t="s">
        <v>121</v>
      </c>
      <c r="F5" s="7" t="s">
        <v>122</v>
      </c>
      <c r="G5" s="7" t="s">
        <v>123</v>
      </c>
      <c r="H5" s="7" t="s">
        <v>124</v>
      </c>
      <c r="I5" s="7" t="s">
        <v>125</v>
      </c>
      <c r="J5" s="7" t="s">
        <v>126</v>
      </c>
      <c r="K5" s="7" t="s">
        <v>127</v>
      </c>
      <c r="L5" s="7" t="s">
        <v>128</v>
      </c>
      <c r="M5" s="7" t="s">
        <v>129</v>
      </c>
      <c r="N5" s="7" t="s">
        <v>130</v>
      </c>
    </row>
    <row r="6" ht="80" customHeight="1" spans="1:14">
      <c r="A6" s="33">
        <v>1</v>
      </c>
      <c r="B6" s="33" t="s">
        <v>131</v>
      </c>
      <c r="C6" s="43" t="s">
        <v>131</v>
      </c>
      <c r="D6" s="59" t="s">
        <v>132</v>
      </c>
      <c r="E6" s="60" t="s">
        <v>84</v>
      </c>
      <c r="F6" s="33" t="s">
        <v>133</v>
      </c>
      <c r="G6" s="33" t="s">
        <v>134</v>
      </c>
      <c r="H6" s="33" t="s">
        <v>135</v>
      </c>
      <c r="I6" s="39">
        <v>33240</v>
      </c>
      <c r="J6" s="39">
        <v>40000</v>
      </c>
      <c r="K6" s="39">
        <v>35603.36</v>
      </c>
      <c r="L6" s="42" t="s">
        <v>136</v>
      </c>
      <c r="M6" s="60" t="s">
        <v>137</v>
      </c>
      <c r="N6" s="60" t="s">
        <v>138</v>
      </c>
    </row>
    <row r="7" ht="80" customHeight="1" spans="1:14">
      <c r="A7" s="33">
        <v>2</v>
      </c>
      <c r="B7" s="33" t="s">
        <v>131</v>
      </c>
      <c r="C7" s="43" t="s">
        <v>131</v>
      </c>
      <c r="D7" s="59" t="s">
        <v>139</v>
      </c>
      <c r="E7" s="60" t="s">
        <v>140</v>
      </c>
      <c r="F7" s="33" t="s">
        <v>141</v>
      </c>
      <c r="G7" s="33" t="s">
        <v>142</v>
      </c>
      <c r="H7" s="33" t="s">
        <v>143</v>
      </c>
      <c r="I7" s="39">
        <v>15000</v>
      </c>
      <c r="J7" s="39">
        <v>3012480</v>
      </c>
      <c r="K7" s="39">
        <v>1862535</v>
      </c>
      <c r="L7" s="42" t="s">
        <v>144</v>
      </c>
      <c r="M7" s="60" t="s">
        <v>145</v>
      </c>
      <c r="N7" s="60" t="s">
        <v>146</v>
      </c>
    </row>
    <row r="8" ht="80" customHeight="1" spans="1:14">
      <c r="A8" s="33">
        <v>3</v>
      </c>
      <c r="B8" s="33" t="s">
        <v>147</v>
      </c>
      <c r="C8" s="43" t="s">
        <v>131</v>
      </c>
      <c r="D8" s="59" t="s">
        <v>148</v>
      </c>
      <c r="E8" s="60" t="s">
        <v>149</v>
      </c>
      <c r="F8" s="33" t="s">
        <v>150</v>
      </c>
      <c r="G8" s="33" t="s">
        <v>151</v>
      </c>
      <c r="H8" s="33" t="s">
        <v>152</v>
      </c>
      <c r="I8" s="39">
        <v>1916479.81</v>
      </c>
      <c r="J8" s="39">
        <v>2000000</v>
      </c>
      <c r="K8" s="39">
        <v>1600567.28</v>
      </c>
      <c r="L8" s="42" t="s">
        <v>153</v>
      </c>
      <c r="M8" s="60" t="s">
        <v>154</v>
      </c>
      <c r="N8" s="60" t="s">
        <v>155</v>
      </c>
    </row>
    <row r="9" ht="80" customHeight="1" spans="1:14">
      <c r="A9" s="33">
        <v>4</v>
      </c>
      <c r="B9" s="33" t="s">
        <v>147</v>
      </c>
      <c r="C9" s="43" t="s">
        <v>131</v>
      </c>
      <c r="D9" s="59" t="s">
        <v>148</v>
      </c>
      <c r="E9" s="60" t="s">
        <v>156</v>
      </c>
      <c r="F9" s="33" t="s">
        <v>157</v>
      </c>
      <c r="G9" s="33" t="s">
        <v>158</v>
      </c>
      <c r="H9" s="33" t="s">
        <v>152</v>
      </c>
      <c r="I9" s="39">
        <v>0</v>
      </c>
      <c r="J9" s="39">
        <v>1000</v>
      </c>
      <c r="K9" s="39">
        <v>1000</v>
      </c>
      <c r="L9" s="42" t="s">
        <v>153</v>
      </c>
      <c r="M9" s="60" t="s">
        <v>159</v>
      </c>
      <c r="N9" s="60" t="s">
        <v>160</v>
      </c>
    </row>
    <row r="10" ht="29" spans="1:14">
      <c r="A10" s="61" t="s">
        <v>13</v>
      </c>
      <c r="B10" s="61" t="s">
        <v>13</v>
      </c>
      <c r="C10" s="61" t="s">
        <v>13</v>
      </c>
      <c r="D10" s="61" t="s">
        <v>13</v>
      </c>
      <c r="E10" s="61" t="s">
        <v>13</v>
      </c>
      <c r="F10" s="61" t="s">
        <v>13</v>
      </c>
      <c r="G10" s="61" t="s">
        <v>13</v>
      </c>
      <c r="H10" s="61" t="s">
        <v>13</v>
      </c>
      <c r="I10" s="61" t="s">
        <v>13</v>
      </c>
      <c r="J10" s="62">
        <f>SUM(J6:J9)</f>
        <v>5053480</v>
      </c>
      <c r="K10" s="62">
        <f>SUM(K6:K9)</f>
        <v>3499705.64</v>
      </c>
      <c r="L10" s="61" t="s">
        <v>13</v>
      </c>
      <c r="M10" s="61" t="s">
        <v>13</v>
      </c>
      <c r="N10" s="63" t="str">
        <f>"累计已交保费 "&amp;TEXT(J10,"#,##0")&amp;" 元 ｜ 当前现金价值 "&amp;TEXT(K10,"#,##0")&amp;" 元 ｜ 立即退保损失 "&amp;TEXT(K10-J10,"#,##0")&amp;" 元（"&amp;TEXT(IFERROR((K10-J10)/J10,0),"0.0%")&amp;"）"</f>
        <v>累计已交保费 5,053,480 元 ｜ 当前现金价值 3,499,706 元 ｜ 立即退保损失 -1,553,774 元（-30.7%）</v>
      </c>
    </row>
    <row r="12" ht="20" customHeight="1" spans="1:14">
      <c r="A12" s="3" t="s">
        <v>161</v>
      </c>
    </row>
    <row r="13" ht="30" customHeight="1" spans="1:14">
      <c r="A13" s="7" t="s">
        <v>162</v>
      </c>
      <c r="B13" s="7" t="s">
        <v>163</v>
      </c>
      <c r="C13" s="7" t="s">
        <v>164</v>
      </c>
      <c r="D13" s="7" t="s">
        <v>165</v>
      </c>
      <c r="E13" s="7" t="s">
        <v>166</v>
      </c>
      <c r="F13" s="7" t="s">
        <v>167</v>
      </c>
      <c r="G13" s="7" t="s">
        <v>168</v>
      </c>
      <c r="H13" s="7" t="s">
        <v>169</v>
      </c>
      <c r="I13" s="7" t="s">
        <v>170</v>
      </c>
      <c r="J13" s="7" t="s">
        <v>61</v>
      </c>
    </row>
    <row r="14" ht="52" spans="1:14">
      <c r="A14" s="32">
        <v>46</v>
      </c>
      <c r="B14" s="32">
        <v>2026</v>
      </c>
      <c r="C14" s="64">
        <v>35603.36</v>
      </c>
      <c r="D14" s="64">
        <v>1862535</v>
      </c>
      <c r="E14" s="64">
        <v>1600567.28</v>
      </c>
      <c r="F14" s="52">
        <f t="shared" ref="F14:F33" si="0">SUM(C14:E14)</f>
        <v>3498705.64</v>
      </c>
      <c r="G14" s="65">
        <v>0</v>
      </c>
      <c r="H14" s="27">
        <f>G14</f>
        <v>0</v>
      </c>
      <c r="I14" s="52">
        <f t="shared" ref="I14:I33" si="1">F14+H14</f>
        <v>3498705.64</v>
      </c>
      <c r="J14" s="40" t="s">
        <v>171</v>
      </c>
    </row>
    <row r="15" ht="14.5" spans="1:14">
      <c r="A15" s="32">
        <v>47</v>
      </c>
      <c r="B15" s="32">
        <v>2027</v>
      </c>
      <c r="C15" s="64">
        <v>36790.03</v>
      </c>
      <c r="D15" s="64">
        <v>1935345</v>
      </c>
      <c r="E15" s="64">
        <v>1808122.04</v>
      </c>
      <c r="F15" s="52">
        <f t="shared" si="0"/>
        <v>3780257.07</v>
      </c>
      <c r="G15" s="65">
        <v>0</v>
      </c>
      <c r="H15" s="27">
        <f t="shared" ref="H15:H33" si="2">H14+G15</f>
        <v>0</v>
      </c>
      <c r="I15" s="52">
        <f t="shared" si="1"/>
        <v>3780257.07</v>
      </c>
      <c r="J15" s="40" t="s">
        <v>13</v>
      </c>
    </row>
    <row r="16" ht="14.5" spans="1:14">
      <c r="A16" s="32">
        <v>48</v>
      </c>
      <c r="B16" s="32">
        <v>2028</v>
      </c>
      <c r="C16" s="64">
        <v>38016.59</v>
      </c>
      <c r="D16" s="64">
        <v>2011020</v>
      </c>
      <c r="E16" s="64">
        <v>2026715.73</v>
      </c>
      <c r="F16" s="52">
        <f t="shared" si="0"/>
        <v>4075752.32</v>
      </c>
      <c r="G16" s="65">
        <v>0</v>
      </c>
      <c r="H16" s="27">
        <f t="shared" si="2"/>
        <v>0</v>
      </c>
      <c r="I16" s="52">
        <f t="shared" si="1"/>
        <v>4075752.32</v>
      </c>
      <c r="J16" s="40" t="s">
        <v>172</v>
      </c>
    </row>
    <row r="17" ht="14.5" spans="1:10">
      <c r="A17" s="32">
        <v>49</v>
      </c>
      <c r="B17" s="32">
        <v>2029</v>
      </c>
      <c r="C17" s="64">
        <v>39283.03</v>
      </c>
      <c r="D17" s="64">
        <v>2089695</v>
      </c>
      <c r="E17" s="64">
        <v>2256635.81</v>
      </c>
      <c r="F17" s="52">
        <f t="shared" si="0"/>
        <v>4385613.84</v>
      </c>
      <c r="G17" s="65">
        <v>0</v>
      </c>
      <c r="H17" s="27">
        <f t="shared" si="2"/>
        <v>0</v>
      </c>
      <c r="I17" s="52">
        <f t="shared" si="1"/>
        <v>4385613.84</v>
      </c>
      <c r="J17" s="40" t="s">
        <v>13</v>
      </c>
    </row>
    <row r="18" ht="14.5" spans="1:10">
      <c r="A18" s="32">
        <v>50</v>
      </c>
      <c r="B18" s="32">
        <v>2030</v>
      </c>
      <c r="C18" s="64">
        <v>40596.01</v>
      </c>
      <c r="D18" s="64">
        <v>2171505</v>
      </c>
      <c r="E18" s="64">
        <v>2324210.89</v>
      </c>
      <c r="F18" s="52">
        <f t="shared" si="0"/>
        <v>4536311.9</v>
      </c>
      <c r="G18" s="65">
        <v>0</v>
      </c>
      <c r="H18" s="27">
        <f t="shared" si="2"/>
        <v>0</v>
      </c>
      <c r="I18" s="52">
        <f t="shared" si="1"/>
        <v>4536311.9</v>
      </c>
      <c r="J18" s="40" t="s">
        <v>13</v>
      </c>
    </row>
    <row r="19" ht="26" spans="1:10">
      <c r="A19" s="32">
        <v>51</v>
      </c>
      <c r="B19" s="32">
        <v>2031</v>
      </c>
      <c r="C19" s="64">
        <v>41343.91</v>
      </c>
      <c r="D19" s="64">
        <v>2256615</v>
      </c>
      <c r="E19" s="64">
        <v>2393798.27</v>
      </c>
      <c r="F19" s="52">
        <f t="shared" si="0"/>
        <v>4691757.18</v>
      </c>
      <c r="G19" s="65">
        <v>0</v>
      </c>
      <c r="H19" s="27">
        <f t="shared" si="2"/>
        <v>0</v>
      </c>
      <c r="I19" s="52">
        <f t="shared" si="1"/>
        <v>4691757.18</v>
      </c>
      <c r="J19" s="40" t="s">
        <v>173</v>
      </c>
    </row>
    <row r="20" ht="14.5" spans="1:10">
      <c r="A20" s="32">
        <v>52</v>
      </c>
      <c r="B20" s="32">
        <v>2032</v>
      </c>
      <c r="C20" s="64">
        <v>42101.78</v>
      </c>
      <c r="D20" s="64">
        <v>2345175</v>
      </c>
      <c r="E20" s="64">
        <v>2465493.78</v>
      </c>
      <c r="F20" s="52">
        <f t="shared" si="0"/>
        <v>4852770.56</v>
      </c>
      <c r="G20" s="65">
        <v>0</v>
      </c>
      <c r="H20" s="27">
        <f t="shared" si="2"/>
        <v>0</v>
      </c>
      <c r="I20" s="52">
        <f t="shared" si="1"/>
        <v>4852770.56</v>
      </c>
      <c r="J20" s="40" t="s">
        <v>13</v>
      </c>
    </row>
    <row r="21" ht="14.5" spans="1:10">
      <c r="A21" s="32">
        <v>53</v>
      </c>
      <c r="B21" s="32">
        <v>2033</v>
      </c>
      <c r="C21" s="64">
        <v>42876.28</v>
      </c>
      <c r="D21" s="64">
        <v>2437365</v>
      </c>
      <c r="E21" s="64">
        <v>2539335.75</v>
      </c>
      <c r="F21" s="52">
        <f t="shared" si="0"/>
        <v>5019577.03</v>
      </c>
      <c r="G21" s="65">
        <v>0</v>
      </c>
      <c r="H21" s="27">
        <f t="shared" si="2"/>
        <v>0</v>
      </c>
      <c r="I21" s="52">
        <f t="shared" si="1"/>
        <v>5019577.03</v>
      </c>
      <c r="J21" s="40" t="s">
        <v>13</v>
      </c>
    </row>
    <row r="22" ht="14.5" spans="1:10">
      <c r="A22" s="32">
        <v>54</v>
      </c>
      <c r="B22" s="32">
        <v>2034</v>
      </c>
      <c r="C22" s="64">
        <v>43660.74</v>
      </c>
      <c r="D22" s="64">
        <v>2533380</v>
      </c>
      <c r="E22" s="64">
        <v>2615400.83</v>
      </c>
      <c r="F22" s="52">
        <f t="shared" si="0"/>
        <v>5192441.57</v>
      </c>
      <c r="G22" s="65">
        <v>0</v>
      </c>
      <c r="H22" s="27">
        <f t="shared" si="2"/>
        <v>0</v>
      </c>
      <c r="I22" s="52">
        <f t="shared" si="1"/>
        <v>5192441.57</v>
      </c>
      <c r="J22" s="40" t="s">
        <v>13</v>
      </c>
    </row>
    <row r="23" ht="14.5" spans="1:10">
      <c r="A23" s="32">
        <v>55</v>
      </c>
      <c r="B23" s="32">
        <v>2035</v>
      </c>
      <c r="C23" s="64">
        <v>44465.15</v>
      </c>
      <c r="D23" s="64">
        <v>2633400</v>
      </c>
      <c r="E23" s="64">
        <v>2693765.69</v>
      </c>
      <c r="F23" s="52">
        <f t="shared" si="0"/>
        <v>5371630.84</v>
      </c>
      <c r="G23" s="65">
        <v>0</v>
      </c>
      <c r="H23" s="27">
        <f t="shared" si="2"/>
        <v>0</v>
      </c>
      <c r="I23" s="52">
        <f t="shared" si="1"/>
        <v>5371630.84</v>
      </c>
      <c r="J23" s="40" t="s">
        <v>13</v>
      </c>
    </row>
    <row r="24" ht="14.5" spans="1:10">
      <c r="A24" s="32">
        <v>56</v>
      </c>
      <c r="B24" s="32">
        <v>2036</v>
      </c>
      <c r="C24" s="64">
        <v>45282.85</v>
      </c>
      <c r="D24" s="64">
        <v>2737665</v>
      </c>
      <c r="E24" s="64">
        <v>2774468.66</v>
      </c>
      <c r="F24" s="52">
        <f t="shared" si="0"/>
        <v>5557416.51</v>
      </c>
      <c r="G24" s="65">
        <v>0</v>
      </c>
      <c r="H24" s="27">
        <f t="shared" si="2"/>
        <v>0</v>
      </c>
      <c r="I24" s="52">
        <f t="shared" si="1"/>
        <v>5557416.51</v>
      </c>
      <c r="J24" s="40" t="s">
        <v>13</v>
      </c>
    </row>
    <row r="25" ht="14.5" spans="1:10">
      <c r="A25" s="32">
        <v>57</v>
      </c>
      <c r="B25" s="32">
        <v>2037</v>
      </c>
      <c r="C25" s="64">
        <v>46117.18</v>
      </c>
      <c r="D25" s="64">
        <v>2846385</v>
      </c>
      <c r="E25" s="64">
        <v>2857624.72</v>
      </c>
      <c r="F25" s="52">
        <f t="shared" si="0"/>
        <v>5750126.9</v>
      </c>
      <c r="G25" s="65">
        <v>0</v>
      </c>
      <c r="H25" s="27">
        <f t="shared" si="2"/>
        <v>0</v>
      </c>
      <c r="I25" s="52">
        <f t="shared" si="1"/>
        <v>5750126.9</v>
      </c>
      <c r="J25" s="40" t="s">
        <v>13</v>
      </c>
    </row>
    <row r="26" ht="14.5" spans="1:10">
      <c r="A26" s="32">
        <v>58</v>
      </c>
      <c r="B26" s="32">
        <v>2038</v>
      </c>
      <c r="C26" s="64">
        <v>46968.12</v>
      </c>
      <c r="D26" s="64">
        <v>2959815</v>
      </c>
      <c r="E26" s="64">
        <v>2943272.2</v>
      </c>
      <c r="F26" s="52">
        <f t="shared" si="0"/>
        <v>5950055.32</v>
      </c>
      <c r="G26" s="65">
        <v>0</v>
      </c>
      <c r="H26" s="27">
        <f t="shared" si="2"/>
        <v>0</v>
      </c>
      <c r="I26" s="52">
        <f t="shared" si="1"/>
        <v>5950055.32</v>
      </c>
      <c r="J26" s="40" t="s">
        <v>13</v>
      </c>
    </row>
    <row r="27" ht="39" spans="1:10">
      <c r="A27" s="32">
        <v>59</v>
      </c>
      <c r="B27" s="32">
        <v>2039</v>
      </c>
      <c r="C27" s="64">
        <v>47839.01</v>
      </c>
      <c r="D27" s="64">
        <v>3077970</v>
      </c>
      <c r="E27" s="64">
        <v>3031506.93</v>
      </c>
      <c r="F27" s="52">
        <f t="shared" si="0"/>
        <v>6157315.94</v>
      </c>
      <c r="G27" s="65">
        <v>0</v>
      </c>
      <c r="H27" s="27">
        <f t="shared" si="2"/>
        <v>0</v>
      </c>
      <c r="I27" s="52">
        <f t="shared" si="1"/>
        <v>6157315.94</v>
      </c>
      <c r="J27" s="40" t="s">
        <v>174</v>
      </c>
    </row>
    <row r="28" ht="26" spans="1:10">
      <c r="A28" s="32">
        <v>60</v>
      </c>
      <c r="B28" s="32">
        <v>2040</v>
      </c>
      <c r="C28" s="64">
        <v>48729.84</v>
      </c>
      <c r="D28" s="64">
        <v>2796660</v>
      </c>
      <c r="E28" s="64">
        <v>3122386.4</v>
      </c>
      <c r="F28" s="52">
        <f t="shared" si="0"/>
        <v>5967776.24</v>
      </c>
      <c r="G28" s="65">
        <v>177990</v>
      </c>
      <c r="H28" s="27">
        <f t="shared" si="2"/>
        <v>177990</v>
      </c>
      <c r="I28" s="52">
        <f t="shared" si="1"/>
        <v>6145766.24</v>
      </c>
      <c r="J28" s="40" t="s">
        <v>175</v>
      </c>
    </row>
    <row r="29" ht="14.5" spans="1:10">
      <c r="A29" s="32">
        <v>61</v>
      </c>
      <c r="B29" s="32">
        <v>2041</v>
      </c>
      <c r="C29" s="64">
        <v>49760.03</v>
      </c>
      <c r="D29" s="64">
        <v>2605695</v>
      </c>
      <c r="E29" s="64">
        <v>3214103.99</v>
      </c>
      <c r="F29" s="52">
        <f t="shared" si="0"/>
        <v>5869559.02</v>
      </c>
      <c r="G29" s="65">
        <v>177990</v>
      </c>
      <c r="H29" s="27">
        <f t="shared" si="2"/>
        <v>355980</v>
      </c>
      <c r="I29" s="52">
        <f t="shared" si="1"/>
        <v>6225539.02</v>
      </c>
      <c r="J29" s="40" t="s">
        <v>13</v>
      </c>
    </row>
    <row r="30" ht="14.5" spans="1:10">
      <c r="A30" s="32">
        <v>62</v>
      </c>
      <c r="B30" s="32">
        <v>2042</v>
      </c>
      <c r="C30" s="64">
        <v>50790.5</v>
      </c>
      <c r="D30" s="64">
        <v>2415000</v>
      </c>
      <c r="E30" s="64">
        <v>3308970.84</v>
      </c>
      <c r="F30" s="52">
        <f t="shared" si="0"/>
        <v>5774761.34</v>
      </c>
      <c r="G30" s="65">
        <v>177990</v>
      </c>
      <c r="H30" s="27">
        <f t="shared" si="2"/>
        <v>533970</v>
      </c>
      <c r="I30" s="52">
        <f t="shared" si="1"/>
        <v>6308731.34</v>
      </c>
      <c r="J30" s="40" t="s">
        <v>13</v>
      </c>
    </row>
    <row r="31" ht="14.5" spans="1:10">
      <c r="A31" s="32">
        <v>63</v>
      </c>
      <c r="B31" s="32">
        <v>2043</v>
      </c>
      <c r="C31" s="64">
        <v>51821.26</v>
      </c>
      <c r="D31" s="64">
        <v>2223000</v>
      </c>
      <c r="E31" s="64">
        <v>3407025.03</v>
      </c>
      <c r="F31" s="52">
        <f t="shared" si="0"/>
        <v>5681846.29</v>
      </c>
      <c r="G31" s="65">
        <v>177990</v>
      </c>
      <c r="H31" s="27">
        <f t="shared" si="2"/>
        <v>711960</v>
      </c>
      <c r="I31" s="52">
        <f t="shared" si="1"/>
        <v>6393806.29</v>
      </c>
      <c r="J31" s="40" t="s">
        <v>13</v>
      </c>
    </row>
    <row r="32" ht="14.5" spans="1:10">
      <c r="A32" s="32">
        <v>64</v>
      </c>
      <c r="B32" s="32">
        <v>2044</v>
      </c>
      <c r="C32" s="64">
        <v>52852.3</v>
      </c>
      <c r="D32" s="64">
        <v>2029500</v>
      </c>
      <c r="E32" s="64">
        <v>3508350</v>
      </c>
      <c r="F32" s="52">
        <f t="shared" si="0"/>
        <v>5590702.3</v>
      </c>
      <c r="G32" s="65">
        <v>177990</v>
      </c>
      <c r="H32" s="27">
        <f t="shared" si="2"/>
        <v>889950</v>
      </c>
      <c r="I32" s="52">
        <f t="shared" si="1"/>
        <v>6480652.3</v>
      </c>
      <c r="J32" s="40" t="s">
        <v>13</v>
      </c>
    </row>
    <row r="33" ht="14.5" spans="1:10">
      <c r="A33" s="32">
        <v>65</v>
      </c>
      <c r="B33" s="32">
        <v>2045</v>
      </c>
      <c r="C33" s="64">
        <v>53883.63</v>
      </c>
      <c r="D33" s="64">
        <v>1833000</v>
      </c>
      <c r="E33" s="64">
        <v>3613032.56</v>
      </c>
      <c r="F33" s="52">
        <f t="shared" si="0"/>
        <v>5499916.19</v>
      </c>
      <c r="G33" s="65">
        <v>177990</v>
      </c>
      <c r="H33" s="27">
        <f t="shared" si="2"/>
        <v>1067940</v>
      </c>
      <c r="I33" s="52">
        <f t="shared" si="1"/>
        <v>6567856.19</v>
      </c>
      <c r="J33" s="40" t="s">
        <v>13</v>
      </c>
    </row>
    <row r="35" ht="20" customHeight="1" spans="1:10">
      <c r="A35" s="3" t="s">
        <v>176</v>
      </c>
    </row>
    <row r="36" ht="30" customHeight="1" spans="1:10">
      <c r="A36" s="7" t="s">
        <v>177</v>
      </c>
      <c r="B36" s="7" t="s">
        <v>178</v>
      </c>
      <c r="C36" s="7" t="s">
        <v>179</v>
      </c>
      <c r="D36" s="7" t="s">
        <v>180</v>
      </c>
      <c r="E36" s="7" t="s">
        <v>181</v>
      </c>
      <c r="F36" s="7" t="s">
        <v>182</v>
      </c>
      <c r="G36" s="7" t="s">
        <v>21</v>
      </c>
    </row>
    <row r="37" ht="14.5" spans="1:10">
      <c r="A37" s="53" t="s">
        <v>183</v>
      </c>
      <c r="B37" s="33" t="s">
        <v>184</v>
      </c>
      <c r="C37" s="65">
        <v>0</v>
      </c>
      <c r="D37" s="65">
        <v>780000</v>
      </c>
      <c r="E37" s="51">
        <f t="shared" ref="E37:E44" si="3">MAX(D37-C37,0)</f>
        <v>780000</v>
      </c>
      <c r="F37" s="66" t="s">
        <v>185</v>
      </c>
      <c r="G37" s="40" t="s">
        <v>186</v>
      </c>
    </row>
    <row r="38" ht="14.5" spans="1:10">
      <c r="A38" s="53" t="s">
        <v>183</v>
      </c>
      <c r="B38" s="33" t="s">
        <v>187</v>
      </c>
      <c r="C38" s="65">
        <v>0</v>
      </c>
      <c r="D38" s="65">
        <v>1000000</v>
      </c>
      <c r="E38" s="51">
        <f t="shared" si="3"/>
        <v>1000000</v>
      </c>
      <c r="F38" s="53" t="s">
        <v>188</v>
      </c>
      <c r="G38" s="40" t="s">
        <v>189</v>
      </c>
    </row>
    <row r="39" ht="14.5" spans="1:10">
      <c r="A39" s="53" t="s">
        <v>183</v>
      </c>
      <c r="B39" s="33" t="s">
        <v>190</v>
      </c>
      <c r="C39" s="65">
        <v>33240</v>
      </c>
      <c r="D39" s="65">
        <v>3360000</v>
      </c>
      <c r="E39" s="51">
        <f t="shared" si="3"/>
        <v>3326760</v>
      </c>
      <c r="F39" s="66" t="s">
        <v>185</v>
      </c>
      <c r="G39" s="40" t="s">
        <v>191</v>
      </c>
    </row>
    <row r="40" ht="14.5" spans="1:10">
      <c r="A40" s="53" t="s">
        <v>183</v>
      </c>
      <c r="B40" s="33" t="s">
        <v>192</v>
      </c>
      <c r="C40" s="65">
        <v>0</v>
      </c>
      <c r="D40" s="65">
        <v>850000</v>
      </c>
      <c r="E40" s="51">
        <f t="shared" si="3"/>
        <v>850000</v>
      </c>
      <c r="F40" s="53" t="s">
        <v>188</v>
      </c>
      <c r="G40" s="40" t="s">
        <v>193</v>
      </c>
    </row>
    <row r="41" ht="14.5" spans="1:10">
      <c r="A41" s="53" t="s">
        <v>183</v>
      </c>
      <c r="B41" s="33" t="s">
        <v>141</v>
      </c>
      <c r="C41" s="65">
        <v>177990</v>
      </c>
      <c r="D41" s="65">
        <v>260000</v>
      </c>
      <c r="E41" s="51">
        <f t="shared" si="3"/>
        <v>82010</v>
      </c>
      <c r="F41" s="53" t="s">
        <v>188</v>
      </c>
      <c r="G41" s="40" t="s">
        <v>194</v>
      </c>
    </row>
    <row r="42" ht="14.5" spans="1:10">
      <c r="A42" s="53" t="s">
        <v>195</v>
      </c>
      <c r="B42" s="33" t="s">
        <v>184</v>
      </c>
      <c r="C42" s="65">
        <v>0</v>
      </c>
      <c r="D42" s="65">
        <v>530000</v>
      </c>
      <c r="E42" s="51">
        <f t="shared" si="3"/>
        <v>530000</v>
      </c>
      <c r="F42" s="53" t="s">
        <v>188</v>
      </c>
      <c r="G42" s="40" t="s">
        <v>196</v>
      </c>
    </row>
    <row r="43" ht="14.5" spans="1:10">
      <c r="A43" s="53" t="s">
        <v>195</v>
      </c>
      <c r="B43" s="33" t="s">
        <v>187</v>
      </c>
      <c r="C43" s="65">
        <v>0</v>
      </c>
      <c r="D43" s="65">
        <v>1000000</v>
      </c>
      <c r="E43" s="51">
        <f t="shared" si="3"/>
        <v>1000000</v>
      </c>
      <c r="F43" s="53" t="s">
        <v>188</v>
      </c>
      <c r="G43" s="40" t="s">
        <v>197</v>
      </c>
    </row>
    <row r="44" ht="14.5" spans="1:10">
      <c r="A44" s="53" t="s">
        <v>195</v>
      </c>
      <c r="B44" s="33" t="s">
        <v>192</v>
      </c>
      <c r="C44" s="65">
        <v>0</v>
      </c>
      <c r="D44" s="65">
        <v>530000</v>
      </c>
      <c r="E44" s="51">
        <f t="shared" si="3"/>
        <v>530000</v>
      </c>
      <c r="F44" s="53" t="s">
        <v>188</v>
      </c>
      <c r="G44" s="40" t="s">
        <v>193</v>
      </c>
    </row>
    <row r="45" ht="46" customHeight="1" spans="1:10">
      <c r="A45" s="67" t="s">
        <v>198</v>
      </c>
      <c r="B45" s="68" t="s">
        <v>199</v>
      </c>
    </row>
    <row r="47" ht="20" customHeight="1" spans="1:10">
      <c r="A47" s="3" t="s">
        <v>200</v>
      </c>
    </row>
    <row r="48" ht="30" customHeight="1" spans="1:10">
      <c r="A48" s="7" t="s">
        <v>201</v>
      </c>
      <c r="B48" s="7" t="s">
        <v>126</v>
      </c>
      <c r="C48" s="7" t="s">
        <v>202</v>
      </c>
      <c r="D48" s="7" t="s">
        <v>203</v>
      </c>
      <c r="E48" s="7" t="s">
        <v>204</v>
      </c>
      <c r="F48" s="7" t="s">
        <v>205</v>
      </c>
    </row>
    <row r="49" ht="43.5" spans="1:14">
      <c r="A49" s="26" t="s">
        <v>206</v>
      </c>
      <c r="B49" s="65">
        <v>3012480</v>
      </c>
      <c r="C49" s="60" t="s">
        <v>207</v>
      </c>
      <c r="D49" s="65">
        <v>4449750</v>
      </c>
      <c r="E49" s="69">
        <v>0.01421</v>
      </c>
      <c r="F49" s="40" t="s">
        <v>208</v>
      </c>
    </row>
    <row r="50" ht="29" spans="1:14">
      <c r="A50" s="26" t="s">
        <v>206</v>
      </c>
      <c r="B50" s="65">
        <v>3012480</v>
      </c>
      <c r="C50" s="60" t="s">
        <v>209</v>
      </c>
      <c r="D50" s="65">
        <v>8365530</v>
      </c>
      <c r="E50" s="69">
        <v>0.0284</v>
      </c>
      <c r="F50" s="40" t="s">
        <v>210</v>
      </c>
    </row>
    <row r="51" ht="43.5" spans="1:14">
      <c r="A51" s="26" t="s">
        <v>211</v>
      </c>
      <c r="B51" s="65">
        <v>2000000</v>
      </c>
      <c r="C51" s="60" t="s">
        <v>212</v>
      </c>
      <c r="D51" s="65">
        <v>6537112.63</v>
      </c>
      <c r="E51" s="69">
        <v>0.0286</v>
      </c>
      <c r="F51" s="40" t="s">
        <v>213</v>
      </c>
    </row>
    <row r="52" ht="43.5" spans="1:14">
      <c r="A52" s="26" t="s">
        <v>211</v>
      </c>
      <c r="B52" s="65">
        <v>2000000</v>
      </c>
      <c r="C52" s="60" t="s">
        <v>214</v>
      </c>
      <c r="D52" s="65">
        <v>11806646.35</v>
      </c>
      <c r="E52" s="69">
        <v>0.02905</v>
      </c>
      <c r="F52" s="40" t="s">
        <v>215</v>
      </c>
    </row>
    <row r="53" ht="43.5" spans="1:14">
      <c r="A53" s="26" t="s">
        <v>216</v>
      </c>
      <c r="B53" s="65">
        <v>40000</v>
      </c>
      <c r="C53" s="60" t="s">
        <v>217</v>
      </c>
      <c r="D53" s="65">
        <v>110147.39</v>
      </c>
      <c r="E53" s="69">
        <v>0.01674</v>
      </c>
      <c r="F53" s="40" t="s">
        <v>218</v>
      </c>
    </row>
    <row r="54" ht="30" customHeight="1" spans="1:14">
      <c r="A54" s="8" t="s">
        <v>219</v>
      </c>
      <c r="B54" s="11" t="s">
        <v>220</v>
      </c>
    </row>
    <row r="56" ht="20" customHeight="1" spans="1:14">
      <c r="A56" s="3" t="s">
        <v>221</v>
      </c>
    </row>
    <row r="57" ht="30" customHeight="1" spans="1:14">
      <c r="A57" s="7" t="s">
        <v>222</v>
      </c>
      <c r="B57" s="7" t="s">
        <v>223</v>
      </c>
      <c r="C57" s="7" t="s">
        <v>224</v>
      </c>
      <c r="D57" s="7" t="s">
        <v>225</v>
      </c>
      <c r="E57" s="7" t="s">
        <v>226</v>
      </c>
      <c r="F57" s="7" t="s">
        <v>227</v>
      </c>
    </row>
    <row r="58" ht="28" customHeight="1" spans="1:14">
      <c r="A58" s="59" t="s">
        <v>228</v>
      </c>
      <c r="B58" s="59" t="s">
        <v>211</v>
      </c>
      <c r="C58" s="60" t="s">
        <v>229</v>
      </c>
      <c r="D58" s="60" t="s">
        <v>230</v>
      </c>
      <c r="E58" s="59" t="s">
        <v>231</v>
      </c>
      <c r="F58" s="60" t="s">
        <v>232</v>
      </c>
      <c r="G58" s="44"/>
      <c r="H58" s="44"/>
      <c r="I58" s="44"/>
      <c r="J58" s="44"/>
      <c r="K58" s="44"/>
      <c r="L58" s="44"/>
      <c r="M58" s="44"/>
      <c r="N58" s="45"/>
    </row>
    <row r="59" ht="28" customHeight="1" spans="1:14">
      <c r="A59" s="59" t="s">
        <v>233</v>
      </c>
      <c r="B59" s="59" t="s">
        <v>234</v>
      </c>
      <c r="C59" s="60" t="s">
        <v>235</v>
      </c>
      <c r="D59" s="60" t="s">
        <v>236</v>
      </c>
      <c r="E59" s="59" t="s">
        <v>237</v>
      </c>
      <c r="F59" s="60" t="s">
        <v>238</v>
      </c>
      <c r="G59" s="44"/>
      <c r="H59" s="44"/>
      <c r="I59" s="44"/>
      <c r="J59" s="44"/>
      <c r="K59" s="44"/>
      <c r="L59" s="44"/>
      <c r="M59" s="44"/>
      <c r="N59" s="45"/>
    </row>
    <row r="60" ht="28" customHeight="1" spans="1:14">
      <c r="A60" s="59" t="s">
        <v>228</v>
      </c>
      <c r="B60" s="59" t="s">
        <v>206</v>
      </c>
      <c r="C60" s="60" t="s">
        <v>239</v>
      </c>
      <c r="D60" s="60" t="s">
        <v>240</v>
      </c>
      <c r="E60" s="59" t="s">
        <v>231</v>
      </c>
      <c r="F60" s="60" t="s">
        <v>241</v>
      </c>
      <c r="G60" s="44"/>
      <c r="H60" s="44"/>
      <c r="I60" s="44"/>
      <c r="J60" s="44"/>
      <c r="K60" s="44"/>
      <c r="L60" s="44"/>
      <c r="M60" s="44"/>
      <c r="N60" s="45"/>
    </row>
    <row r="61" ht="28" customHeight="1" spans="1:14">
      <c r="A61" s="59" t="s">
        <v>242</v>
      </c>
      <c r="B61" s="59" t="s">
        <v>243</v>
      </c>
      <c r="C61" s="60" t="s">
        <v>244</v>
      </c>
      <c r="D61" s="60" t="s">
        <v>245</v>
      </c>
      <c r="E61" s="59" t="s">
        <v>237</v>
      </c>
      <c r="F61" s="60" t="s">
        <v>246</v>
      </c>
      <c r="G61" s="44"/>
      <c r="H61" s="44"/>
      <c r="I61" s="44"/>
      <c r="J61" s="44"/>
      <c r="K61" s="44"/>
      <c r="L61" s="44"/>
      <c r="M61" s="44"/>
      <c r="N61" s="45"/>
    </row>
    <row r="62" ht="28" customHeight="1" spans="1:14">
      <c r="A62" s="59" t="s">
        <v>247</v>
      </c>
      <c r="B62" s="59" t="s">
        <v>248</v>
      </c>
      <c r="C62" s="60" t="s">
        <v>249</v>
      </c>
      <c r="D62" s="60" t="s">
        <v>250</v>
      </c>
      <c r="E62" s="59" t="s">
        <v>231</v>
      </c>
      <c r="F62" s="60" t="s">
        <v>251</v>
      </c>
      <c r="G62" s="44"/>
      <c r="H62" s="44"/>
      <c r="I62" s="44"/>
      <c r="J62" s="44"/>
      <c r="K62" s="44"/>
      <c r="L62" s="44"/>
      <c r="M62" s="44"/>
      <c r="N62" s="45"/>
    </row>
  </sheetData>
  <mergeCells count="27">
    <mergeCell ref="A1:N1"/>
    <mergeCell ref="A2:N2"/>
    <mergeCell ref="A4:N4"/>
    <mergeCell ref="A12:N12"/>
    <mergeCell ref="A35:N35"/>
    <mergeCell ref="G37:N37"/>
    <mergeCell ref="G38:N38"/>
    <mergeCell ref="G39:N39"/>
    <mergeCell ref="G40:N40"/>
    <mergeCell ref="G41:N41"/>
    <mergeCell ref="G42:N42"/>
    <mergeCell ref="G43:N43"/>
    <mergeCell ref="G44:N44"/>
    <mergeCell ref="B45:N45"/>
    <mergeCell ref="A47:N47"/>
    <mergeCell ref="F49:N49"/>
    <mergeCell ref="F50:N50"/>
    <mergeCell ref="F51:N51"/>
    <mergeCell ref="F52:N52"/>
    <mergeCell ref="F53:N53"/>
    <mergeCell ref="B54:N54"/>
    <mergeCell ref="A56:N56"/>
    <mergeCell ref="F58:N58"/>
    <mergeCell ref="F59:N59"/>
    <mergeCell ref="F60:N60"/>
    <mergeCell ref="F61:N61"/>
    <mergeCell ref="F62:N6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8F00"/>
  </sheetPr>
  <dimension ref="A1:J36"/>
  <sheetViews>
    <sheetView workbookViewId="0">
      <pane ySplit="3" topLeftCell="A13" activePane="bottomLeft" state="frozen"/>
      <selection/>
      <selection pane="bottomLeft" activeCell="E18" sqref="E18"/>
    </sheetView>
  </sheetViews>
  <sheetFormatPr defaultColWidth="9" defaultRowHeight="14"/>
  <cols>
    <col min="1" max="2" width="10" customWidth="1"/>
    <col min="3" max="3" width="16" customWidth="1"/>
    <col min="4" max="6" width="18" customWidth="1"/>
    <col min="7" max="8" width="20" customWidth="1"/>
    <col min="9" max="9" width="12" customWidth="1"/>
    <col min="10" max="10" width="46" customWidth="1"/>
  </cols>
  <sheetData>
    <row r="1" ht="26" customHeight="1" spans="1:10">
      <c r="A1" s="1" t="s">
        <v>252</v>
      </c>
    </row>
    <row r="2" ht="16" customHeight="1" spans="1:10">
      <c r="A2" s="2" t="s">
        <v>253</v>
      </c>
    </row>
    <row r="4" ht="20" customHeight="1" spans="1:10">
      <c r="A4" s="3" t="s">
        <v>254</v>
      </c>
    </row>
    <row r="5" ht="14.5" spans="1:10">
      <c r="A5" s="8" t="s">
        <v>255</v>
      </c>
      <c r="B5" s="44"/>
      <c r="C5" s="45"/>
      <c r="D5" s="46">
        <v>16</v>
      </c>
      <c r="E5" s="11" t="s">
        <v>256</v>
      </c>
    </row>
    <row r="6" ht="14.5" spans="1:10">
      <c r="A6" s="8" t="s">
        <v>257</v>
      </c>
      <c r="B6" s="44"/>
      <c r="C6" s="45"/>
      <c r="D6" s="46">
        <v>18</v>
      </c>
      <c r="E6" s="11" t="s">
        <v>256</v>
      </c>
    </row>
    <row r="7" ht="14.5" spans="1:10">
      <c r="A7" s="8" t="s">
        <v>258</v>
      </c>
      <c r="B7" s="44"/>
      <c r="C7" s="45"/>
      <c r="D7" s="46">
        <v>4</v>
      </c>
      <c r="E7" s="11" t="s">
        <v>256</v>
      </c>
    </row>
    <row r="8" ht="14.5" spans="1:10">
      <c r="A8" s="8" t="s">
        <v>259</v>
      </c>
      <c r="B8" s="44"/>
      <c r="C8" s="45"/>
      <c r="D8" s="13">
        <v>600000</v>
      </c>
      <c r="E8" s="11" t="s">
        <v>260</v>
      </c>
    </row>
    <row r="9" ht="14.5" spans="1:10">
      <c r="A9" s="8" t="s">
        <v>261</v>
      </c>
      <c r="B9" s="44"/>
      <c r="C9" s="45"/>
      <c r="D9" s="47">
        <v>1916479.81</v>
      </c>
      <c r="E9" s="11" t="s">
        <v>262</v>
      </c>
    </row>
    <row r="10" ht="14.5" spans="1:10">
      <c r="A10" s="8" t="s">
        <v>263</v>
      </c>
      <c r="B10" s="44"/>
      <c r="C10" s="45"/>
      <c r="D10" s="47">
        <v>1600567.28</v>
      </c>
      <c r="E10" s="11" t="s">
        <v>264</v>
      </c>
    </row>
    <row r="11" ht="14.5" spans="1:10">
      <c r="A11" s="8" t="s">
        <v>265</v>
      </c>
      <c r="B11" s="44"/>
      <c r="C11" s="45"/>
      <c r="D11" s="48">
        <v>0.2</v>
      </c>
      <c r="E11" s="11" t="s">
        <v>266</v>
      </c>
    </row>
    <row r="12" ht="14.5" spans="1:10">
      <c r="A12" s="8" t="s">
        <v>267</v>
      </c>
      <c r="B12" s="44"/>
      <c r="C12" s="45"/>
      <c r="D12" s="49">
        <v>2028</v>
      </c>
      <c r="E12" s="11" t="s">
        <v>268</v>
      </c>
    </row>
    <row r="14" ht="20" customHeight="1" spans="1:10">
      <c r="A14" s="3" t="s">
        <v>269</v>
      </c>
    </row>
    <row r="15" ht="30" customHeight="1" spans="1:10">
      <c r="A15" s="7" t="s">
        <v>162</v>
      </c>
      <c r="B15" s="7" t="s">
        <v>163</v>
      </c>
      <c r="C15" s="7" t="s">
        <v>270</v>
      </c>
      <c r="D15" s="7" t="s">
        <v>271</v>
      </c>
      <c r="E15" s="7" t="s">
        <v>272</v>
      </c>
      <c r="F15" s="7" t="s">
        <v>273</v>
      </c>
      <c r="G15" s="7" t="s">
        <v>274</v>
      </c>
      <c r="H15" s="7" t="s">
        <v>275</v>
      </c>
      <c r="I15" s="7" t="s">
        <v>276</v>
      </c>
      <c r="J15" s="7" t="s">
        <v>277</v>
      </c>
    </row>
    <row r="16" ht="26" spans="1:10">
      <c r="A16" s="32">
        <f>$D$6</f>
        <v>18</v>
      </c>
      <c r="B16" s="32">
        <f>$D$12</f>
        <v>2028</v>
      </c>
      <c r="C16" s="27">
        <f t="shared" ref="C16:C21" si="0">IF(A16&gt;=$D$6+$D$7,0,$D$8)</f>
        <v>600000</v>
      </c>
      <c r="D16" s="50">
        <f>IFERROR(INDEX(保险权益与现金流!$E$14:$E$33,MATCH(B16,保险权益与现金流!$B$14:$B$33,0)),"")</f>
        <v>2026715.73</v>
      </c>
      <c r="E16" s="51">
        <f>IF(C16=0,0,MIN(C16,$D$11*(1)*D16))</f>
        <v>405343.146</v>
      </c>
      <c r="F16" s="27">
        <f>E16</f>
        <v>405343.146</v>
      </c>
      <c r="G16" s="29">
        <f>IF(D16=0,1,1-E16/D16)</f>
        <v>0.8</v>
      </c>
      <c r="H16" s="52">
        <f t="shared" ref="H16:H21" si="1">IFERROR(G16*D16,"")</f>
        <v>1621372.584</v>
      </c>
      <c r="I16" s="53" t="str">
        <f t="shared" ref="I16:I21" si="2">IF(C16=0,"—",IF(E16&gt;=C16,"充足","不足"))</f>
        <v>不足</v>
      </c>
      <c r="J16" s="54" t="str">
        <f t="shared" ref="J16:J21" si="3">IF(C16=0,"",IF(E16&lt;C16,"★当年受 20% 减保上限约束，缺口 "&amp;TEXT(C16-E16,"#,##0")&amp;" 元；建议提前 1–2 年开始减保或延长取现年份",""))</f>
        <v>★当年受 20% 减保上限约束，缺口 194,657 元；建议提前 1–2 年开始减保或延长取现年份</v>
      </c>
    </row>
    <row r="17" ht="26" spans="1:10">
      <c r="A17" s="32">
        <f>A16+1</f>
        <v>19</v>
      </c>
      <c r="B17" s="32">
        <f>B16+1</f>
        <v>2029</v>
      </c>
      <c r="C17" s="27">
        <f t="shared" si="0"/>
        <v>600000</v>
      </c>
      <c r="D17" s="50">
        <f>IFERROR(INDEX(保险权益与现金流!$E$14:$E$33,MATCH(B17,保险权益与现金流!$B$14:$B$33,0)),"")</f>
        <v>2256635.81</v>
      </c>
      <c r="E17" s="51">
        <f>IF(C17=0,0,MIN(C17,$D$11*(G16)*D17))</f>
        <v>361061.7296</v>
      </c>
      <c r="F17" s="27">
        <f>F16+E17</f>
        <v>766404.8756</v>
      </c>
      <c r="G17" s="29">
        <f>IF(D17=0,0,G16*(1-E17/D17))</f>
        <v>0.672</v>
      </c>
      <c r="H17" s="52">
        <f t="shared" si="1"/>
        <v>1516459.26432</v>
      </c>
      <c r="I17" s="53" t="str">
        <f t="shared" si="2"/>
        <v>不足</v>
      </c>
      <c r="J17" s="54" t="str">
        <f t="shared" si="3"/>
        <v>★当年受 20% 减保上限约束，缺口 238,938 元；建议提前 1–2 年开始减保或延长取现年份</v>
      </c>
    </row>
    <row r="18" ht="26" spans="1:10">
      <c r="A18" s="32">
        <f>A17+1</f>
        <v>20</v>
      </c>
      <c r="B18" s="32">
        <f>B17+1</f>
        <v>2030</v>
      </c>
      <c r="C18" s="27">
        <f t="shared" si="0"/>
        <v>600000</v>
      </c>
      <c r="D18" s="50">
        <f>IFERROR(INDEX(保险权益与现金流!$E$14:$E$33,MATCH(B18,保险权益与现金流!$B$14:$B$33,0)),"")</f>
        <v>2324210.89</v>
      </c>
      <c r="E18" s="51">
        <f>IF(C18=0,0,MIN(C18,$D$11*(G17)*D18))</f>
        <v>312373.943616</v>
      </c>
      <c r="F18" s="27">
        <f>F17+E18</f>
        <v>1078778.819216</v>
      </c>
      <c r="G18" s="29">
        <f>IF(D18=0,0,G17*(1-E18/D18))</f>
        <v>0.5816832</v>
      </c>
      <c r="H18" s="52">
        <f t="shared" si="1"/>
        <v>1351954.42797005</v>
      </c>
      <c r="I18" s="53" t="str">
        <f t="shared" si="2"/>
        <v>不足</v>
      </c>
      <c r="J18" s="54" t="str">
        <f t="shared" si="3"/>
        <v>★当年受 20% 减保上限约束，缺口 287,626 元；建议提前 1–2 年开始减保或延长取现年份</v>
      </c>
    </row>
    <row r="19" ht="26" spans="1:10">
      <c r="A19" s="32">
        <f>A18+1</f>
        <v>21</v>
      </c>
      <c r="B19" s="32">
        <f>B18+1</f>
        <v>2031</v>
      </c>
      <c r="C19" s="27">
        <f t="shared" si="0"/>
        <v>600000</v>
      </c>
      <c r="D19" s="50">
        <f>IFERROR(INDEX(保险权益与现金流!$E$14:$E$33,MATCH(B19,保险权益与现金流!$B$14:$B$33,0)),"")</f>
        <v>2393798.27</v>
      </c>
      <c r="E19" s="51">
        <f>IF(C19=0,0,MIN(C19,$D$11*(G18)*D19))</f>
        <v>278486.447569613</v>
      </c>
      <c r="F19" s="27">
        <f>F18+E19</f>
        <v>1357265.26678561</v>
      </c>
      <c r="G19" s="29">
        <f>IF(D19=0,0,G18*(1-E19/D19))</f>
        <v>0.514012130967552</v>
      </c>
      <c r="H19" s="52">
        <f t="shared" si="1"/>
        <v>1230441.34986914</v>
      </c>
      <c r="I19" s="53" t="str">
        <f t="shared" si="2"/>
        <v>不足</v>
      </c>
      <c r="J19" s="54" t="str">
        <f t="shared" si="3"/>
        <v>★当年受 20% 减保上限约束，缺口 321,514 元；建议提前 1–2 年开始减保或延长取现年份</v>
      </c>
    </row>
    <row r="20" ht="14.5" spans="1:10">
      <c r="A20" s="32">
        <f>A19+1</f>
        <v>22</v>
      </c>
      <c r="B20" s="32">
        <f>B19+1</f>
        <v>2032</v>
      </c>
      <c r="C20" s="27">
        <f t="shared" si="0"/>
        <v>0</v>
      </c>
      <c r="D20" s="50">
        <f>IFERROR(INDEX(保险权益与现金流!$E$14:$E$33,MATCH(B20,保险权益与现金流!$B$14:$B$33,0)),"")</f>
        <v>2465493.78</v>
      </c>
      <c r="E20" s="51">
        <f>IF(C20=0,0,MIN(C20,$D$11*(G19)*D20))</f>
        <v>0</v>
      </c>
      <c r="F20" s="27">
        <f>F19+E20</f>
        <v>1357265.26678561</v>
      </c>
      <c r="G20" s="29">
        <f>IF(D20=0,0,G19*(1-E20/D20))</f>
        <v>0.514012130967552</v>
      </c>
      <c r="H20" s="52">
        <f t="shared" si="1"/>
        <v>1267293.71174504</v>
      </c>
      <c r="I20" s="53" t="str">
        <f t="shared" si="2"/>
        <v>—</v>
      </c>
      <c r="J20" s="54" t="str">
        <f t="shared" si="3"/>
        <v/>
      </c>
    </row>
    <row r="21" ht="14.5" spans="1:10">
      <c r="A21" s="32">
        <f>A20+1</f>
        <v>23</v>
      </c>
      <c r="B21" s="32">
        <f>B20+1</f>
        <v>2033</v>
      </c>
      <c r="C21" s="27">
        <f t="shared" si="0"/>
        <v>0</v>
      </c>
      <c r="D21" s="50">
        <f>IFERROR(INDEX(保险权益与现金流!$E$14:$E$33,MATCH(B21,保险权益与现金流!$B$14:$B$33,0)),"")</f>
        <v>2539335.75</v>
      </c>
      <c r="E21" s="51">
        <f>IF(C21=0,0,MIN(C21,$D$11*(G20)*D21))</f>
        <v>0</v>
      </c>
      <c r="F21" s="27">
        <f>F20+E21</f>
        <v>1357265.26678561</v>
      </c>
      <c r="G21" s="29">
        <f>IF(D21=0,0,G20*(1-E21/D21))</f>
        <v>0.514012130967552</v>
      </c>
      <c r="H21" s="52">
        <f t="shared" si="1"/>
        <v>1305249.38009959</v>
      </c>
      <c r="I21" s="53" t="str">
        <f t="shared" si="2"/>
        <v>—</v>
      </c>
      <c r="J21" s="54" t="str">
        <f t="shared" si="3"/>
        <v/>
      </c>
    </row>
    <row r="23" ht="20" customHeight="1" spans="1:10">
      <c r="A23" s="3" t="s">
        <v>278</v>
      </c>
    </row>
    <row r="24" ht="14.5" spans="1:10">
      <c r="A24" s="8" t="s">
        <v>279</v>
      </c>
      <c r="B24" s="44"/>
      <c r="C24" s="45"/>
      <c r="D24" s="55">
        <f>SUM(C16:C21)</f>
        <v>2400000</v>
      </c>
      <c r="E24" s="15" t="s">
        <v>13</v>
      </c>
    </row>
    <row r="25" ht="14.5" spans="1:10">
      <c r="A25" s="8" t="s">
        <v>280</v>
      </c>
      <c r="B25" s="44"/>
      <c r="C25" s="45"/>
      <c r="D25" s="55">
        <f>SUM(E16:E21)</f>
        <v>1357265.26678561</v>
      </c>
      <c r="E25" s="15" t="s">
        <v>13</v>
      </c>
    </row>
    <row r="26" ht="14.5" spans="1:10">
      <c r="A26" s="8" t="s">
        <v>281</v>
      </c>
      <c r="B26" s="44"/>
      <c r="C26" s="45"/>
      <c r="D26" s="55">
        <f>D24-D25</f>
        <v>1042734.73321439</v>
      </c>
      <c r="E26" s="15" t="s">
        <v>13</v>
      </c>
    </row>
    <row r="27" ht="14.5" spans="1:10">
      <c r="A27" s="8" t="s">
        <v>282</v>
      </c>
      <c r="B27" s="44"/>
      <c r="C27" s="45"/>
      <c r="D27" s="56">
        <f>IFERROR(D25/D24,"")</f>
        <v>0.565527194494005</v>
      </c>
      <c r="E27" s="15" t="s">
        <v>13</v>
      </c>
    </row>
    <row r="28" ht="14.5" spans="1:10">
      <c r="A28" s="8" t="s">
        <v>283</v>
      </c>
      <c r="B28" s="44"/>
      <c r="C28" s="45"/>
      <c r="D28" s="56">
        <f>G21</f>
        <v>0.514012130967552</v>
      </c>
      <c r="E28" s="15" t="s">
        <v>13</v>
      </c>
    </row>
    <row r="29" ht="14.5" spans="1:10">
      <c r="A29" s="8" t="s">
        <v>284</v>
      </c>
      <c r="B29" s="44"/>
      <c r="C29" s="45"/>
      <c r="D29" s="57">
        <f>H21</f>
        <v>1305249.38009959</v>
      </c>
      <c r="E29" s="15" t="s">
        <v>13</v>
      </c>
    </row>
    <row r="31" ht="30" customHeight="1" spans="1:10">
      <c r="A31" s="58" t="s">
        <v>285</v>
      </c>
    </row>
    <row r="32" ht="30" customHeight="1" spans="1:10">
      <c r="A32" s="58" t="s">
        <v>286</v>
      </c>
    </row>
    <row r="33" ht="30" customHeight="1" spans="1:1">
      <c r="A33" s="58" t="s">
        <v>287</v>
      </c>
    </row>
    <row r="34" ht="30" customHeight="1" spans="1:1">
      <c r="A34" s="6" t="s">
        <v>288</v>
      </c>
    </row>
    <row r="35" ht="30" customHeight="1" spans="1:1">
      <c r="A35" s="6" t="s">
        <v>289</v>
      </c>
    </row>
    <row r="36" ht="30" customHeight="1" spans="1:1">
      <c r="A36" s="6" t="s">
        <v>290</v>
      </c>
    </row>
  </sheetData>
  <mergeCells count="39">
    <mergeCell ref="A1:J1"/>
    <mergeCell ref="A2:J2"/>
    <mergeCell ref="A4:J4"/>
    <mergeCell ref="A5:C5"/>
    <mergeCell ref="E5:J5"/>
    <mergeCell ref="A6:C6"/>
    <mergeCell ref="E6:J6"/>
    <mergeCell ref="A7:C7"/>
    <mergeCell ref="E7:J7"/>
    <mergeCell ref="A8:C8"/>
    <mergeCell ref="E8:J8"/>
    <mergeCell ref="A9:C9"/>
    <mergeCell ref="E9:J9"/>
    <mergeCell ref="A10:C10"/>
    <mergeCell ref="E10:J10"/>
    <mergeCell ref="A11:C11"/>
    <mergeCell ref="E11:J11"/>
    <mergeCell ref="A12:C12"/>
    <mergeCell ref="E12:J12"/>
    <mergeCell ref="A14:J14"/>
    <mergeCell ref="A23:J23"/>
    <mergeCell ref="A24:C24"/>
    <mergeCell ref="E24:J24"/>
    <mergeCell ref="A25:C25"/>
    <mergeCell ref="E25:J25"/>
    <mergeCell ref="A26:C26"/>
    <mergeCell ref="E26:J26"/>
    <mergeCell ref="A27:C27"/>
    <mergeCell ref="E27:J27"/>
    <mergeCell ref="A28:C28"/>
    <mergeCell ref="E28:J28"/>
    <mergeCell ref="A29:C29"/>
    <mergeCell ref="E29:J29"/>
    <mergeCell ref="A31:J31"/>
    <mergeCell ref="A32:J32"/>
    <mergeCell ref="A33:J33"/>
    <mergeCell ref="A34:J34"/>
    <mergeCell ref="A35:J35"/>
    <mergeCell ref="A36:J3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sheetPr>
  <dimension ref="A1:N44"/>
  <sheetViews>
    <sheetView workbookViewId="0">
      <pane xSplit="1" ySplit="5" topLeftCell="B29" activePane="bottomRight" state="frozen"/>
      <selection/>
      <selection pane="topRight"/>
      <selection pane="bottomLeft"/>
      <selection pane="bottomRight" activeCell="A1" sqref="A1:N1"/>
    </sheetView>
  </sheetViews>
  <sheetFormatPr defaultColWidth="9" defaultRowHeight="14"/>
  <cols>
    <col min="1" max="1" width="11" customWidth="1"/>
    <col min="2" max="4" width="13" customWidth="1"/>
    <col min="5" max="5" width="14" customWidth="1"/>
    <col min="6" max="10" width="13" customWidth="1"/>
    <col min="11" max="12" width="14" customWidth="1"/>
    <col min="13" max="13" width="10" customWidth="1"/>
    <col min="14" max="14" width="14" customWidth="1"/>
  </cols>
  <sheetData>
    <row r="1" ht="26" customHeight="1" spans="1:14">
      <c r="A1" s="1" t="s">
        <v>291</v>
      </c>
    </row>
    <row r="2" ht="16" customHeight="1" spans="1:14">
      <c r="A2" s="2" t="s">
        <v>292</v>
      </c>
    </row>
    <row r="4" ht="20" customHeight="1" spans="1:14">
      <c r="A4" s="3" t="s">
        <v>293</v>
      </c>
    </row>
    <row r="5" ht="30" customHeight="1" spans="1:14">
      <c r="A5" s="7" t="s">
        <v>294</v>
      </c>
      <c r="B5" s="7" t="s">
        <v>295</v>
      </c>
      <c r="C5" s="7" t="s">
        <v>296</v>
      </c>
      <c r="D5" s="7" t="s">
        <v>297</v>
      </c>
      <c r="E5" s="7" t="s">
        <v>298</v>
      </c>
      <c r="F5" s="7" t="s">
        <v>299</v>
      </c>
      <c r="G5" s="7" t="s">
        <v>300</v>
      </c>
      <c r="H5" s="7" t="s">
        <v>301</v>
      </c>
      <c r="I5" s="7" t="s">
        <v>302</v>
      </c>
      <c r="J5" s="7" t="s">
        <v>303</v>
      </c>
      <c r="K5" s="7" t="s">
        <v>304</v>
      </c>
      <c r="L5" s="7" t="s">
        <v>305</v>
      </c>
      <c r="M5" s="7" t="s">
        <v>306</v>
      </c>
      <c r="N5" s="7" t="s">
        <v>307</v>
      </c>
    </row>
    <row r="6" ht="14.5" spans="1:14">
      <c r="A6" s="35">
        <v>46266</v>
      </c>
      <c r="B6" s="16">
        <f>SUMIFS(收支流水!$E$4:$E$303,收支流水!$B$4:$B$303,"收入",收支流水!$C$4:$C$303,B$5,收支流水!$A$4:$A$303,"&gt;="&amp;$A6,收支流水!$A$4:$A$303,"&lt;"&amp;EDATE($A6,1))</f>
        <v>0</v>
      </c>
      <c r="C6" s="16">
        <f>SUMIFS(收支流水!$E$4:$E$303,收支流水!$B$4:$B$303,"收入",收支流水!$C$4:$C$303,C$5,收支流水!$A$4:$A$303,"&gt;="&amp;$A6,收支流水!$A$4:$A$303,"&lt;"&amp;EDATE($A6,1))</f>
        <v>0</v>
      </c>
      <c r="D6" s="16">
        <f>SUMIFS(收支流水!$E$4:$E$303,收支流水!$B$4:$B$303,"收入",收支流水!$C$4:$C$303,D$5,收支流水!$A$4:$A$303,"&gt;="&amp;$A6,收支流水!$A$4:$A$303,"&lt;"&amp;EDATE($A6,1))</f>
        <v>0</v>
      </c>
      <c r="E6" s="27">
        <f t="shared" ref="E6:E29" si="0">SUM(B6:D6)</f>
        <v>0</v>
      </c>
      <c r="F6" s="16">
        <f>SUMIFS(收支流水!$E$4:$E$303,收支流水!$B$4:$B$303,"支出",收支流水!$C$4:$C$303,F$5,收支流水!$A$4:$A$303,"&gt;="&amp;$A6,收支流水!$A$4:$A$303,"&lt;"&amp;EDATE($A6,1))</f>
        <v>0</v>
      </c>
      <c r="G6" s="16">
        <f>SUMIFS(收支流水!$E$4:$E$303,收支流水!$B$4:$B$303,"支出",收支流水!$C$4:$C$303,G$5,收支流水!$A$4:$A$303,"&gt;="&amp;$A6,收支流水!$A$4:$A$303,"&lt;"&amp;EDATE($A6,1))</f>
        <v>0</v>
      </c>
      <c r="H6" s="16">
        <f>SUMIFS(收支流水!$E$4:$E$303,收支流水!$B$4:$B$303,"支出",收支流水!$C$4:$C$303,H$5,收支流水!$A$4:$A$303,"&gt;="&amp;$A6,收支流水!$A$4:$A$303,"&lt;"&amp;EDATE($A6,1))</f>
        <v>0</v>
      </c>
      <c r="I6" s="16">
        <f>SUMIFS(收支流水!$E$4:$E$303,收支流水!$B$4:$B$303,"支出",收支流水!$C$4:$C$303,I$5,收支流水!$A$4:$A$303,"&gt;="&amp;$A6,收支流水!$A$4:$A$303,"&lt;"&amp;EDATE($A6,1))</f>
        <v>0</v>
      </c>
      <c r="J6" s="16">
        <f>SUMIFS(收支流水!$E$4:$E$303,收支流水!$B$4:$B$303,"支出",收支流水!$C$4:$C$303,J$5,收支流水!$A$4:$A$303,"&gt;="&amp;$A6,收支流水!$A$4:$A$303,"&lt;"&amp;EDATE($A6,1))</f>
        <v>0</v>
      </c>
      <c r="K6" s="27">
        <f t="shared" ref="K6:K29" si="1">SUM(F6:J6)</f>
        <v>0</v>
      </c>
      <c r="L6" s="27">
        <f t="shared" ref="L6:L29" si="2">E6-K6</f>
        <v>0</v>
      </c>
      <c r="M6" s="29" t="str">
        <f t="shared" ref="M6:M29" si="3">IF(E6=0,"",L6/E6)</f>
        <v/>
      </c>
      <c r="N6" s="27">
        <f>L6</f>
        <v>0</v>
      </c>
    </row>
    <row r="7" ht="14.5" spans="1:14">
      <c r="A7" s="35">
        <v>46296</v>
      </c>
      <c r="B7" s="16">
        <f>SUMIFS(收支流水!$E$4:$E$303,收支流水!$B$4:$B$303,"收入",收支流水!$C$4:$C$303,B$5,收支流水!$A$4:$A$303,"&gt;="&amp;$A7,收支流水!$A$4:$A$303,"&lt;"&amp;EDATE($A7,1))</f>
        <v>0</v>
      </c>
      <c r="C7" s="16">
        <f>SUMIFS(收支流水!$E$4:$E$303,收支流水!$B$4:$B$303,"收入",收支流水!$C$4:$C$303,C$5,收支流水!$A$4:$A$303,"&gt;="&amp;$A7,收支流水!$A$4:$A$303,"&lt;"&amp;EDATE($A7,1))</f>
        <v>0</v>
      </c>
      <c r="D7" s="16">
        <f>SUMIFS(收支流水!$E$4:$E$303,收支流水!$B$4:$B$303,"收入",收支流水!$C$4:$C$303,D$5,收支流水!$A$4:$A$303,"&gt;="&amp;$A7,收支流水!$A$4:$A$303,"&lt;"&amp;EDATE($A7,1))</f>
        <v>0</v>
      </c>
      <c r="E7" s="27">
        <f t="shared" si="0"/>
        <v>0</v>
      </c>
      <c r="F7" s="16">
        <f>SUMIFS(收支流水!$E$4:$E$303,收支流水!$B$4:$B$303,"支出",收支流水!$C$4:$C$303,F$5,收支流水!$A$4:$A$303,"&gt;="&amp;$A7,收支流水!$A$4:$A$303,"&lt;"&amp;EDATE($A7,1))</f>
        <v>0</v>
      </c>
      <c r="G7" s="16">
        <f>SUMIFS(收支流水!$E$4:$E$303,收支流水!$B$4:$B$303,"支出",收支流水!$C$4:$C$303,G$5,收支流水!$A$4:$A$303,"&gt;="&amp;$A7,收支流水!$A$4:$A$303,"&lt;"&amp;EDATE($A7,1))</f>
        <v>0</v>
      </c>
      <c r="H7" s="16">
        <f>SUMIFS(收支流水!$E$4:$E$303,收支流水!$B$4:$B$303,"支出",收支流水!$C$4:$C$303,H$5,收支流水!$A$4:$A$303,"&gt;="&amp;$A7,收支流水!$A$4:$A$303,"&lt;"&amp;EDATE($A7,1))</f>
        <v>0</v>
      </c>
      <c r="I7" s="16">
        <f>SUMIFS(收支流水!$E$4:$E$303,收支流水!$B$4:$B$303,"支出",收支流水!$C$4:$C$303,I$5,收支流水!$A$4:$A$303,"&gt;="&amp;$A7,收支流水!$A$4:$A$303,"&lt;"&amp;EDATE($A7,1))</f>
        <v>0</v>
      </c>
      <c r="J7" s="16">
        <f>SUMIFS(收支流水!$E$4:$E$303,收支流水!$B$4:$B$303,"支出",收支流水!$C$4:$C$303,J$5,收支流水!$A$4:$A$303,"&gt;="&amp;$A7,收支流水!$A$4:$A$303,"&lt;"&amp;EDATE($A7,1))</f>
        <v>0</v>
      </c>
      <c r="K7" s="27">
        <f t="shared" si="1"/>
        <v>0</v>
      </c>
      <c r="L7" s="27">
        <f t="shared" si="2"/>
        <v>0</v>
      </c>
      <c r="M7" s="29" t="str">
        <f t="shared" si="3"/>
        <v/>
      </c>
      <c r="N7" s="27">
        <f t="shared" ref="N7:N29" si="4">N6+L7</f>
        <v>0</v>
      </c>
    </row>
    <row r="8" ht="14.5" spans="1:14">
      <c r="A8" s="35">
        <v>46327</v>
      </c>
      <c r="B8" s="16">
        <f>SUMIFS(收支流水!$E$4:$E$303,收支流水!$B$4:$B$303,"收入",收支流水!$C$4:$C$303,B$5,收支流水!$A$4:$A$303,"&gt;="&amp;$A8,收支流水!$A$4:$A$303,"&lt;"&amp;EDATE($A8,1))</f>
        <v>0</v>
      </c>
      <c r="C8" s="16">
        <f>SUMIFS(收支流水!$E$4:$E$303,收支流水!$B$4:$B$303,"收入",收支流水!$C$4:$C$303,C$5,收支流水!$A$4:$A$303,"&gt;="&amp;$A8,收支流水!$A$4:$A$303,"&lt;"&amp;EDATE($A8,1))</f>
        <v>0</v>
      </c>
      <c r="D8" s="16">
        <f>SUMIFS(收支流水!$E$4:$E$303,收支流水!$B$4:$B$303,"收入",收支流水!$C$4:$C$303,D$5,收支流水!$A$4:$A$303,"&gt;="&amp;$A8,收支流水!$A$4:$A$303,"&lt;"&amp;EDATE($A8,1))</f>
        <v>0</v>
      </c>
      <c r="E8" s="27">
        <f t="shared" si="0"/>
        <v>0</v>
      </c>
      <c r="F8" s="16">
        <f>SUMIFS(收支流水!$E$4:$E$303,收支流水!$B$4:$B$303,"支出",收支流水!$C$4:$C$303,F$5,收支流水!$A$4:$A$303,"&gt;="&amp;$A8,收支流水!$A$4:$A$303,"&lt;"&amp;EDATE($A8,1))</f>
        <v>0</v>
      </c>
      <c r="G8" s="16">
        <f>SUMIFS(收支流水!$E$4:$E$303,收支流水!$B$4:$B$303,"支出",收支流水!$C$4:$C$303,G$5,收支流水!$A$4:$A$303,"&gt;="&amp;$A8,收支流水!$A$4:$A$303,"&lt;"&amp;EDATE($A8,1))</f>
        <v>0</v>
      </c>
      <c r="H8" s="16">
        <f>SUMIFS(收支流水!$E$4:$E$303,收支流水!$B$4:$B$303,"支出",收支流水!$C$4:$C$303,H$5,收支流水!$A$4:$A$303,"&gt;="&amp;$A8,收支流水!$A$4:$A$303,"&lt;"&amp;EDATE($A8,1))</f>
        <v>0</v>
      </c>
      <c r="I8" s="16">
        <f>SUMIFS(收支流水!$E$4:$E$303,收支流水!$B$4:$B$303,"支出",收支流水!$C$4:$C$303,I$5,收支流水!$A$4:$A$303,"&gt;="&amp;$A8,收支流水!$A$4:$A$303,"&lt;"&amp;EDATE($A8,1))</f>
        <v>0</v>
      </c>
      <c r="J8" s="16">
        <f>SUMIFS(收支流水!$E$4:$E$303,收支流水!$B$4:$B$303,"支出",收支流水!$C$4:$C$303,J$5,收支流水!$A$4:$A$303,"&gt;="&amp;$A8,收支流水!$A$4:$A$303,"&lt;"&amp;EDATE($A8,1))</f>
        <v>0</v>
      </c>
      <c r="K8" s="27">
        <f t="shared" si="1"/>
        <v>0</v>
      </c>
      <c r="L8" s="27">
        <f t="shared" si="2"/>
        <v>0</v>
      </c>
      <c r="M8" s="29" t="str">
        <f t="shared" si="3"/>
        <v/>
      </c>
      <c r="N8" s="27">
        <f t="shared" si="4"/>
        <v>0</v>
      </c>
    </row>
    <row r="9" ht="14.5" spans="1:14">
      <c r="A9" s="35">
        <v>46357</v>
      </c>
      <c r="B9" s="16">
        <f>SUMIFS(收支流水!$E$4:$E$303,收支流水!$B$4:$B$303,"收入",收支流水!$C$4:$C$303,B$5,收支流水!$A$4:$A$303,"&gt;="&amp;$A9,收支流水!$A$4:$A$303,"&lt;"&amp;EDATE($A9,1))</f>
        <v>0</v>
      </c>
      <c r="C9" s="16">
        <f>SUMIFS(收支流水!$E$4:$E$303,收支流水!$B$4:$B$303,"收入",收支流水!$C$4:$C$303,C$5,收支流水!$A$4:$A$303,"&gt;="&amp;$A9,收支流水!$A$4:$A$303,"&lt;"&amp;EDATE($A9,1))</f>
        <v>0</v>
      </c>
      <c r="D9" s="16">
        <f>SUMIFS(收支流水!$E$4:$E$303,收支流水!$B$4:$B$303,"收入",收支流水!$C$4:$C$303,D$5,收支流水!$A$4:$A$303,"&gt;="&amp;$A9,收支流水!$A$4:$A$303,"&lt;"&amp;EDATE($A9,1))</f>
        <v>0</v>
      </c>
      <c r="E9" s="27">
        <f t="shared" si="0"/>
        <v>0</v>
      </c>
      <c r="F9" s="16">
        <f>SUMIFS(收支流水!$E$4:$E$303,收支流水!$B$4:$B$303,"支出",收支流水!$C$4:$C$303,F$5,收支流水!$A$4:$A$303,"&gt;="&amp;$A9,收支流水!$A$4:$A$303,"&lt;"&amp;EDATE($A9,1))</f>
        <v>0</v>
      </c>
      <c r="G9" s="16">
        <f>SUMIFS(收支流水!$E$4:$E$303,收支流水!$B$4:$B$303,"支出",收支流水!$C$4:$C$303,G$5,收支流水!$A$4:$A$303,"&gt;="&amp;$A9,收支流水!$A$4:$A$303,"&lt;"&amp;EDATE($A9,1))</f>
        <v>0</v>
      </c>
      <c r="H9" s="16">
        <f>SUMIFS(收支流水!$E$4:$E$303,收支流水!$B$4:$B$303,"支出",收支流水!$C$4:$C$303,H$5,收支流水!$A$4:$A$303,"&gt;="&amp;$A9,收支流水!$A$4:$A$303,"&lt;"&amp;EDATE($A9,1))</f>
        <v>0</v>
      </c>
      <c r="I9" s="16">
        <f>SUMIFS(收支流水!$E$4:$E$303,收支流水!$B$4:$B$303,"支出",收支流水!$C$4:$C$303,I$5,收支流水!$A$4:$A$303,"&gt;="&amp;$A9,收支流水!$A$4:$A$303,"&lt;"&amp;EDATE($A9,1))</f>
        <v>0</v>
      </c>
      <c r="J9" s="16">
        <f>SUMIFS(收支流水!$E$4:$E$303,收支流水!$B$4:$B$303,"支出",收支流水!$C$4:$C$303,J$5,收支流水!$A$4:$A$303,"&gt;="&amp;$A9,收支流水!$A$4:$A$303,"&lt;"&amp;EDATE($A9,1))</f>
        <v>0</v>
      </c>
      <c r="K9" s="27">
        <f t="shared" si="1"/>
        <v>0</v>
      </c>
      <c r="L9" s="27">
        <f t="shared" si="2"/>
        <v>0</v>
      </c>
      <c r="M9" s="29" t="str">
        <f t="shared" si="3"/>
        <v/>
      </c>
      <c r="N9" s="27">
        <f t="shared" si="4"/>
        <v>0</v>
      </c>
    </row>
    <row r="10" ht="14.5" spans="1:14">
      <c r="A10" s="35">
        <v>46388</v>
      </c>
      <c r="B10" s="16">
        <f>SUMIFS(收支流水!$E$4:$E$303,收支流水!$B$4:$B$303,"收入",收支流水!$C$4:$C$303,B$5,收支流水!$A$4:$A$303,"&gt;="&amp;$A10,收支流水!$A$4:$A$303,"&lt;"&amp;EDATE($A10,1))</f>
        <v>0</v>
      </c>
      <c r="C10" s="16">
        <f>SUMIFS(收支流水!$E$4:$E$303,收支流水!$B$4:$B$303,"收入",收支流水!$C$4:$C$303,C$5,收支流水!$A$4:$A$303,"&gt;="&amp;$A10,收支流水!$A$4:$A$303,"&lt;"&amp;EDATE($A10,1))</f>
        <v>0</v>
      </c>
      <c r="D10" s="16">
        <f>SUMIFS(收支流水!$E$4:$E$303,收支流水!$B$4:$B$303,"收入",收支流水!$C$4:$C$303,D$5,收支流水!$A$4:$A$303,"&gt;="&amp;$A10,收支流水!$A$4:$A$303,"&lt;"&amp;EDATE($A10,1))</f>
        <v>0</v>
      </c>
      <c r="E10" s="27">
        <f t="shared" si="0"/>
        <v>0</v>
      </c>
      <c r="F10" s="16">
        <f>SUMIFS(收支流水!$E$4:$E$303,收支流水!$B$4:$B$303,"支出",收支流水!$C$4:$C$303,F$5,收支流水!$A$4:$A$303,"&gt;="&amp;$A10,收支流水!$A$4:$A$303,"&lt;"&amp;EDATE($A10,1))</f>
        <v>0</v>
      </c>
      <c r="G10" s="16">
        <f>SUMIFS(收支流水!$E$4:$E$303,收支流水!$B$4:$B$303,"支出",收支流水!$C$4:$C$303,G$5,收支流水!$A$4:$A$303,"&gt;="&amp;$A10,收支流水!$A$4:$A$303,"&lt;"&amp;EDATE($A10,1))</f>
        <v>0</v>
      </c>
      <c r="H10" s="16">
        <f>SUMIFS(收支流水!$E$4:$E$303,收支流水!$B$4:$B$303,"支出",收支流水!$C$4:$C$303,H$5,收支流水!$A$4:$A$303,"&gt;="&amp;$A10,收支流水!$A$4:$A$303,"&lt;"&amp;EDATE($A10,1))</f>
        <v>0</v>
      </c>
      <c r="I10" s="16">
        <f>SUMIFS(收支流水!$E$4:$E$303,收支流水!$B$4:$B$303,"支出",收支流水!$C$4:$C$303,I$5,收支流水!$A$4:$A$303,"&gt;="&amp;$A10,收支流水!$A$4:$A$303,"&lt;"&amp;EDATE($A10,1))</f>
        <v>0</v>
      </c>
      <c r="J10" s="16">
        <f>SUMIFS(收支流水!$E$4:$E$303,收支流水!$B$4:$B$303,"支出",收支流水!$C$4:$C$303,J$5,收支流水!$A$4:$A$303,"&gt;="&amp;$A10,收支流水!$A$4:$A$303,"&lt;"&amp;EDATE($A10,1))</f>
        <v>0</v>
      </c>
      <c r="K10" s="27">
        <f t="shared" si="1"/>
        <v>0</v>
      </c>
      <c r="L10" s="27">
        <f t="shared" si="2"/>
        <v>0</v>
      </c>
      <c r="M10" s="29" t="str">
        <f t="shared" si="3"/>
        <v/>
      </c>
      <c r="N10" s="27">
        <f t="shared" si="4"/>
        <v>0</v>
      </c>
    </row>
    <row r="11" ht="14.5" spans="1:14">
      <c r="A11" s="35">
        <v>46419</v>
      </c>
      <c r="B11" s="16">
        <f>SUMIFS(收支流水!$E$4:$E$303,收支流水!$B$4:$B$303,"收入",收支流水!$C$4:$C$303,B$5,收支流水!$A$4:$A$303,"&gt;="&amp;$A11,收支流水!$A$4:$A$303,"&lt;"&amp;EDATE($A11,1))</f>
        <v>0</v>
      </c>
      <c r="C11" s="16">
        <f>SUMIFS(收支流水!$E$4:$E$303,收支流水!$B$4:$B$303,"收入",收支流水!$C$4:$C$303,C$5,收支流水!$A$4:$A$303,"&gt;="&amp;$A11,收支流水!$A$4:$A$303,"&lt;"&amp;EDATE($A11,1))</f>
        <v>0</v>
      </c>
      <c r="D11" s="16">
        <f>SUMIFS(收支流水!$E$4:$E$303,收支流水!$B$4:$B$303,"收入",收支流水!$C$4:$C$303,D$5,收支流水!$A$4:$A$303,"&gt;="&amp;$A11,收支流水!$A$4:$A$303,"&lt;"&amp;EDATE($A11,1))</f>
        <v>0</v>
      </c>
      <c r="E11" s="27">
        <f t="shared" si="0"/>
        <v>0</v>
      </c>
      <c r="F11" s="16">
        <f>SUMIFS(收支流水!$E$4:$E$303,收支流水!$B$4:$B$303,"支出",收支流水!$C$4:$C$303,F$5,收支流水!$A$4:$A$303,"&gt;="&amp;$A11,收支流水!$A$4:$A$303,"&lt;"&amp;EDATE($A11,1))</f>
        <v>0</v>
      </c>
      <c r="G11" s="16">
        <f>SUMIFS(收支流水!$E$4:$E$303,收支流水!$B$4:$B$303,"支出",收支流水!$C$4:$C$303,G$5,收支流水!$A$4:$A$303,"&gt;="&amp;$A11,收支流水!$A$4:$A$303,"&lt;"&amp;EDATE($A11,1))</f>
        <v>0</v>
      </c>
      <c r="H11" s="16">
        <f>SUMIFS(收支流水!$E$4:$E$303,收支流水!$B$4:$B$303,"支出",收支流水!$C$4:$C$303,H$5,收支流水!$A$4:$A$303,"&gt;="&amp;$A11,收支流水!$A$4:$A$303,"&lt;"&amp;EDATE($A11,1))</f>
        <v>0</v>
      </c>
      <c r="I11" s="16">
        <f>SUMIFS(收支流水!$E$4:$E$303,收支流水!$B$4:$B$303,"支出",收支流水!$C$4:$C$303,I$5,收支流水!$A$4:$A$303,"&gt;="&amp;$A11,收支流水!$A$4:$A$303,"&lt;"&amp;EDATE($A11,1))</f>
        <v>0</v>
      </c>
      <c r="J11" s="16">
        <f>SUMIFS(收支流水!$E$4:$E$303,收支流水!$B$4:$B$303,"支出",收支流水!$C$4:$C$303,J$5,收支流水!$A$4:$A$303,"&gt;="&amp;$A11,收支流水!$A$4:$A$303,"&lt;"&amp;EDATE($A11,1))</f>
        <v>0</v>
      </c>
      <c r="K11" s="27">
        <f t="shared" si="1"/>
        <v>0</v>
      </c>
      <c r="L11" s="27">
        <f t="shared" si="2"/>
        <v>0</v>
      </c>
      <c r="M11" s="29" t="str">
        <f t="shared" si="3"/>
        <v/>
      </c>
      <c r="N11" s="27">
        <f t="shared" si="4"/>
        <v>0</v>
      </c>
    </row>
    <row r="12" ht="14.5" spans="1:14">
      <c r="A12" s="35">
        <v>46447</v>
      </c>
      <c r="B12" s="16">
        <f>SUMIFS(收支流水!$E$4:$E$303,收支流水!$B$4:$B$303,"收入",收支流水!$C$4:$C$303,B$5,收支流水!$A$4:$A$303,"&gt;="&amp;$A12,收支流水!$A$4:$A$303,"&lt;"&amp;EDATE($A12,1))</f>
        <v>0</v>
      </c>
      <c r="C12" s="16">
        <f>SUMIFS(收支流水!$E$4:$E$303,收支流水!$B$4:$B$303,"收入",收支流水!$C$4:$C$303,C$5,收支流水!$A$4:$A$303,"&gt;="&amp;$A12,收支流水!$A$4:$A$303,"&lt;"&amp;EDATE($A12,1))</f>
        <v>0</v>
      </c>
      <c r="D12" s="16">
        <f>SUMIFS(收支流水!$E$4:$E$303,收支流水!$B$4:$B$303,"收入",收支流水!$C$4:$C$303,D$5,收支流水!$A$4:$A$303,"&gt;="&amp;$A12,收支流水!$A$4:$A$303,"&lt;"&amp;EDATE($A12,1))</f>
        <v>0</v>
      </c>
      <c r="E12" s="27">
        <f t="shared" si="0"/>
        <v>0</v>
      </c>
      <c r="F12" s="16">
        <f>SUMIFS(收支流水!$E$4:$E$303,收支流水!$B$4:$B$303,"支出",收支流水!$C$4:$C$303,F$5,收支流水!$A$4:$A$303,"&gt;="&amp;$A12,收支流水!$A$4:$A$303,"&lt;"&amp;EDATE($A12,1))</f>
        <v>0</v>
      </c>
      <c r="G12" s="16">
        <f>SUMIFS(收支流水!$E$4:$E$303,收支流水!$B$4:$B$303,"支出",收支流水!$C$4:$C$303,G$5,收支流水!$A$4:$A$303,"&gt;="&amp;$A12,收支流水!$A$4:$A$303,"&lt;"&amp;EDATE($A12,1))</f>
        <v>0</v>
      </c>
      <c r="H12" s="16">
        <f>SUMIFS(收支流水!$E$4:$E$303,收支流水!$B$4:$B$303,"支出",收支流水!$C$4:$C$303,H$5,收支流水!$A$4:$A$303,"&gt;="&amp;$A12,收支流水!$A$4:$A$303,"&lt;"&amp;EDATE($A12,1))</f>
        <v>0</v>
      </c>
      <c r="I12" s="16">
        <f>SUMIFS(收支流水!$E$4:$E$303,收支流水!$B$4:$B$303,"支出",收支流水!$C$4:$C$303,I$5,收支流水!$A$4:$A$303,"&gt;="&amp;$A12,收支流水!$A$4:$A$303,"&lt;"&amp;EDATE($A12,1))</f>
        <v>0</v>
      </c>
      <c r="J12" s="16">
        <f>SUMIFS(收支流水!$E$4:$E$303,收支流水!$B$4:$B$303,"支出",收支流水!$C$4:$C$303,J$5,收支流水!$A$4:$A$303,"&gt;="&amp;$A12,收支流水!$A$4:$A$303,"&lt;"&amp;EDATE($A12,1))</f>
        <v>0</v>
      </c>
      <c r="K12" s="27">
        <f t="shared" si="1"/>
        <v>0</v>
      </c>
      <c r="L12" s="27">
        <f t="shared" si="2"/>
        <v>0</v>
      </c>
      <c r="M12" s="29" t="str">
        <f t="shared" si="3"/>
        <v/>
      </c>
      <c r="N12" s="27">
        <f t="shared" si="4"/>
        <v>0</v>
      </c>
    </row>
    <row r="13" ht="14.5" spans="1:14">
      <c r="A13" s="35">
        <v>46478</v>
      </c>
      <c r="B13" s="16">
        <f>SUMIFS(收支流水!$E$4:$E$303,收支流水!$B$4:$B$303,"收入",收支流水!$C$4:$C$303,B$5,收支流水!$A$4:$A$303,"&gt;="&amp;$A13,收支流水!$A$4:$A$303,"&lt;"&amp;EDATE($A13,1))</f>
        <v>0</v>
      </c>
      <c r="C13" s="16">
        <f>SUMIFS(收支流水!$E$4:$E$303,收支流水!$B$4:$B$303,"收入",收支流水!$C$4:$C$303,C$5,收支流水!$A$4:$A$303,"&gt;="&amp;$A13,收支流水!$A$4:$A$303,"&lt;"&amp;EDATE($A13,1))</f>
        <v>0</v>
      </c>
      <c r="D13" s="16">
        <f>SUMIFS(收支流水!$E$4:$E$303,收支流水!$B$4:$B$303,"收入",收支流水!$C$4:$C$303,D$5,收支流水!$A$4:$A$303,"&gt;="&amp;$A13,收支流水!$A$4:$A$303,"&lt;"&amp;EDATE($A13,1))</f>
        <v>0</v>
      </c>
      <c r="E13" s="27">
        <f t="shared" si="0"/>
        <v>0</v>
      </c>
      <c r="F13" s="16">
        <f>SUMIFS(收支流水!$E$4:$E$303,收支流水!$B$4:$B$303,"支出",收支流水!$C$4:$C$303,F$5,收支流水!$A$4:$A$303,"&gt;="&amp;$A13,收支流水!$A$4:$A$303,"&lt;"&amp;EDATE($A13,1))</f>
        <v>0</v>
      </c>
      <c r="G13" s="16">
        <f>SUMIFS(收支流水!$E$4:$E$303,收支流水!$B$4:$B$303,"支出",收支流水!$C$4:$C$303,G$5,收支流水!$A$4:$A$303,"&gt;="&amp;$A13,收支流水!$A$4:$A$303,"&lt;"&amp;EDATE($A13,1))</f>
        <v>0</v>
      </c>
      <c r="H13" s="16">
        <f>SUMIFS(收支流水!$E$4:$E$303,收支流水!$B$4:$B$303,"支出",收支流水!$C$4:$C$303,H$5,收支流水!$A$4:$A$303,"&gt;="&amp;$A13,收支流水!$A$4:$A$303,"&lt;"&amp;EDATE($A13,1))</f>
        <v>0</v>
      </c>
      <c r="I13" s="16">
        <f>SUMIFS(收支流水!$E$4:$E$303,收支流水!$B$4:$B$303,"支出",收支流水!$C$4:$C$303,I$5,收支流水!$A$4:$A$303,"&gt;="&amp;$A13,收支流水!$A$4:$A$303,"&lt;"&amp;EDATE($A13,1))</f>
        <v>0</v>
      </c>
      <c r="J13" s="16">
        <f>SUMIFS(收支流水!$E$4:$E$303,收支流水!$B$4:$B$303,"支出",收支流水!$C$4:$C$303,J$5,收支流水!$A$4:$A$303,"&gt;="&amp;$A13,收支流水!$A$4:$A$303,"&lt;"&amp;EDATE($A13,1))</f>
        <v>0</v>
      </c>
      <c r="K13" s="27">
        <f t="shared" si="1"/>
        <v>0</v>
      </c>
      <c r="L13" s="27">
        <f t="shared" si="2"/>
        <v>0</v>
      </c>
      <c r="M13" s="29" t="str">
        <f t="shared" si="3"/>
        <v/>
      </c>
      <c r="N13" s="27">
        <f t="shared" si="4"/>
        <v>0</v>
      </c>
    </row>
    <row r="14" ht="14.5" spans="1:14">
      <c r="A14" s="35">
        <v>46508</v>
      </c>
      <c r="B14" s="16">
        <f>SUMIFS(收支流水!$E$4:$E$303,收支流水!$B$4:$B$303,"收入",收支流水!$C$4:$C$303,B$5,收支流水!$A$4:$A$303,"&gt;="&amp;$A14,收支流水!$A$4:$A$303,"&lt;"&amp;EDATE($A14,1))</f>
        <v>0</v>
      </c>
      <c r="C14" s="16">
        <f>SUMIFS(收支流水!$E$4:$E$303,收支流水!$B$4:$B$303,"收入",收支流水!$C$4:$C$303,C$5,收支流水!$A$4:$A$303,"&gt;="&amp;$A14,收支流水!$A$4:$A$303,"&lt;"&amp;EDATE($A14,1))</f>
        <v>0</v>
      </c>
      <c r="D14" s="16">
        <f>SUMIFS(收支流水!$E$4:$E$303,收支流水!$B$4:$B$303,"收入",收支流水!$C$4:$C$303,D$5,收支流水!$A$4:$A$303,"&gt;="&amp;$A14,收支流水!$A$4:$A$303,"&lt;"&amp;EDATE($A14,1))</f>
        <v>0</v>
      </c>
      <c r="E14" s="27">
        <f t="shared" si="0"/>
        <v>0</v>
      </c>
      <c r="F14" s="16">
        <f>SUMIFS(收支流水!$E$4:$E$303,收支流水!$B$4:$B$303,"支出",收支流水!$C$4:$C$303,F$5,收支流水!$A$4:$A$303,"&gt;="&amp;$A14,收支流水!$A$4:$A$303,"&lt;"&amp;EDATE($A14,1))</f>
        <v>0</v>
      </c>
      <c r="G14" s="16">
        <f>SUMIFS(收支流水!$E$4:$E$303,收支流水!$B$4:$B$303,"支出",收支流水!$C$4:$C$303,G$5,收支流水!$A$4:$A$303,"&gt;="&amp;$A14,收支流水!$A$4:$A$303,"&lt;"&amp;EDATE($A14,1))</f>
        <v>0</v>
      </c>
      <c r="H14" s="16">
        <f>SUMIFS(收支流水!$E$4:$E$303,收支流水!$B$4:$B$303,"支出",收支流水!$C$4:$C$303,H$5,收支流水!$A$4:$A$303,"&gt;="&amp;$A14,收支流水!$A$4:$A$303,"&lt;"&amp;EDATE($A14,1))</f>
        <v>0</v>
      </c>
      <c r="I14" s="16">
        <f>SUMIFS(收支流水!$E$4:$E$303,收支流水!$B$4:$B$303,"支出",收支流水!$C$4:$C$303,I$5,收支流水!$A$4:$A$303,"&gt;="&amp;$A14,收支流水!$A$4:$A$303,"&lt;"&amp;EDATE($A14,1))</f>
        <v>0</v>
      </c>
      <c r="J14" s="16">
        <f>SUMIFS(收支流水!$E$4:$E$303,收支流水!$B$4:$B$303,"支出",收支流水!$C$4:$C$303,J$5,收支流水!$A$4:$A$303,"&gt;="&amp;$A14,收支流水!$A$4:$A$303,"&lt;"&amp;EDATE($A14,1))</f>
        <v>0</v>
      </c>
      <c r="K14" s="27">
        <f t="shared" si="1"/>
        <v>0</v>
      </c>
      <c r="L14" s="27">
        <f t="shared" si="2"/>
        <v>0</v>
      </c>
      <c r="M14" s="29" t="str">
        <f t="shared" si="3"/>
        <v/>
      </c>
      <c r="N14" s="27">
        <f t="shared" si="4"/>
        <v>0</v>
      </c>
    </row>
    <row r="15" ht="14.5" spans="1:14">
      <c r="A15" s="35">
        <v>46539</v>
      </c>
      <c r="B15" s="16">
        <f>SUMIFS(收支流水!$E$4:$E$303,收支流水!$B$4:$B$303,"收入",收支流水!$C$4:$C$303,B$5,收支流水!$A$4:$A$303,"&gt;="&amp;$A15,收支流水!$A$4:$A$303,"&lt;"&amp;EDATE($A15,1))</f>
        <v>0</v>
      </c>
      <c r="C15" s="16">
        <f>SUMIFS(收支流水!$E$4:$E$303,收支流水!$B$4:$B$303,"收入",收支流水!$C$4:$C$303,C$5,收支流水!$A$4:$A$303,"&gt;="&amp;$A15,收支流水!$A$4:$A$303,"&lt;"&amp;EDATE($A15,1))</f>
        <v>0</v>
      </c>
      <c r="D15" s="16">
        <f>SUMIFS(收支流水!$E$4:$E$303,收支流水!$B$4:$B$303,"收入",收支流水!$C$4:$C$303,D$5,收支流水!$A$4:$A$303,"&gt;="&amp;$A15,收支流水!$A$4:$A$303,"&lt;"&amp;EDATE($A15,1))</f>
        <v>0</v>
      </c>
      <c r="E15" s="27">
        <f t="shared" si="0"/>
        <v>0</v>
      </c>
      <c r="F15" s="16">
        <f>SUMIFS(收支流水!$E$4:$E$303,收支流水!$B$4:$B$303,"支出",收支流水!$C$4:$C$303,F$5,收支流水!$A$4:$A$303,"&gt;="&amp;$A15,收支流水!$A$4:$A$303,"&lt;"&amp;EDATE($A15,1))</f>
        <v>0</v>
      </c>
      <c r="G15" s="16">
        <f>SUMIFS(收支流水!$E$4:$E$303,收支流水!$B$4:$B$303,"支出",收支流水!$C$4:$C$303,G$5,收支流水!$A$4:$A$303,"&gt;="&amp;$A15,收支流水!$A$4:$A$303,"&lt;"&amp;EDATE($A15,1))</f>
        <v>0</v>
      </c>
      <c r="H15" s="16">
        <f>SUMIFS(收支流水!$E$4:$E$303,收支流水!$B$4:$B$303,"支出",收支流水!$C$4:$C$303,H$5,收支流水!$A$4:$A$303,"&gt;="&amp;$A15,收支流水!$A$4:$A$303,"&lt;"&amp;EDATE($A15,1))</f>
        <v>0</v>
      </c>
      <c r="I15" s="16">
        <f>SUMIFS(收支流水!$E$4:$E$303,收支流水!$B$4:$B$303,"支出",收支流水!$C$4:$C$303,I$5,收支流水!$A$4:$A$303,"&gt;="&amp;$A15,收支流水!$A$4:$A$303,"&lt;"&amp;EDATE($A15,1))</f>
        <v>0</v>
      </c>
      <c r="J15" s="16">
        <f>SUMIFS(收支流水!$E$4:$E$303,收支流水!$B$4:$B$303,"支出",收支流水!$C$4:$C$303,J$5,收支流水!$A$4:$A$303,"&gt;="&amp;$A15,收支流水!$A$4:$A$303,"&lt;"&amp;EDATE($A15,1))</f>
        <v>0</v>
      </c>
      <c r="K15" s="27">
        <f t="shared" si="1"/>
        <v>0</v>
      </c>
      <c r="L15" s="27">
        <f t="shared" si="2"/>
        <v>0</v>
      </c>
      <c r="M15" s="29" t="str">
        <f t="shared" si="3"/>
        <v/>
      </c>
      <c r="N15" s="27">
        <f t="shared" si="4"/>
        <v>0</v>
      </c>
    </row>
    <row r="16" ht="14.5" spans="1:14">
      <c r="A16" s="35">
        <v>46569</v>
      </c>
      <c r="B16" s="16">
        <f>SUMIFS(收支流水!$E$4:$E$303,收支流水!$B$4:$B$303,"收入",收支流水!$C$4:$C$303,B$5,收支流水!$A$4:$A$303,"&gt;="&amp;$A16,收支流水!$A$4:$A$303,"&lt;"&amp;EDATE($A16,1))</f>
        <v>0</v>
      </c>
      <c r="C16" s="16">
        <f>SUMIFS(收支流水!$E$4:$E$303,收支流水!$B$4:$B$303,"收入",收支流水!$C$4:$C$303,C$5,收支流水!$A$4:$A$303,"&gt;="&amp;$A16,收支流水!$A$4:$A$303,"&lt;"&amp;EDATE($A16,1))</f>
        <v>0</v>
      </c>
      <c r="D16" s="16">
        <f>SUMIFS(收支流水!$E$4:$E$303,收支流水!$B$4:$B$303,"收入",收支流水!$C$4:$C$303,D$5,收支流水!$A$4:$A$303,"&gt;="&amp;$A16,收支流水!$A$4:$A$303,"&lt;"&amp;EDATE($A16,1))</f>
        <v>0</v>
      </c>
      <c r="E16" s="27">
        <f t="shared" si="0"/>
        <v>0</v>
      </c>
      <c r="F16" s="16">
        <f>SUMIFS(收支流水!$E$4:$E$303,收支流水!$B$4:$B$303,"支出",收支流水!$C$4:$C$303,F$5,收支流水!$A$4:$A$303,"&gt;="&amp;$A16,收支流水!$A$4:$A$303,"&lt;"&amp;EDATE($A16,1))</f>
        <v>0</v>
      </c>
      <c r="G16" s="16">
        <f>SUMIFS(收支流水!$E$4:$E$303,收支流水!$B$4:$B$303,"支出",收支流水!$C$4:$C$303,G$5,收支流水!$A$4:$A$303,"&gt;="&amp;$A16,收支流水!$A$4:$A$303,"&lt;"&amp;EDATE($A16,1))</f>
        <v>0</v>
      </c>
      <c r="H16" s="16">
        <f>SUMIFS(收支流水!$E$4:$E$303,收支流水!$B$4:$B$303,"支出",收支流水!$C$4:$C$303,H$5,收支流水!$A$4:$A$303,"&gt;="&amp;$A16,收支流水!$A$4:$A$303,"&lt;"&amp;EDATE($A16,1))</f>
        <v>0</v>
      </c>
      <c r="I16" s="16">
        <f>SUMIFS(收支流水!$E$4:$E$303,收支流水!$B$4:$B$303,"支出",收支流水!$C$4:$C$303,I$5,收支流水!$A$4:$A$303,"&gt;="&amp;$A16,收支流水!$A$4:$A$303,"&lt;"&amp;EDATE($A16,1))</f>
        <v>0</v>
      </c>
      <c r="J16" s="16">
        <f>SUMIFS(收支流水!$E$4:$E$303,收支流水!$B$4:$B$303,"支出",收支流水!$C$4:$C$303,J$5,收支流水!$A$4:$A$303,"&gt;="&amp;$A16,收支流水!$A$4:$A$303,"&lt;"&amp;EDATE($A16,1))</f>
        <v>0</v>
      </c>
      <c r="K16" s="27">
        <f t="shared" si="1"/>
        <v>0</v>
      </c>
      <c r="L16" s="27">
        <f t="shared" si="2"/>
        <v>0</v>
      </c>
      <c r="M16" s="29" t="str">
        <f t="shared" si="3"/>
        <v/>
      </c>
      <c r="N16" s="27">
        <f t="shared" si="4"/>
        <v>0</v>
      </c>
    </row>
    <row r="17" ht="14.5" spans="1:14">
      <c r="A17" s="35">
        <v>46600</v>
      </c>
      <c r="B17" s="16">
        <f>SUMIFS(收支流水!$E$4:$E$303,收支流水!$B$4:$B$303,"收入",收支流水!$C$4:$C$303,B$5,收支流水!$A$4:$A$303,"&gt;="&amp;$A17,收支流水!$A$4:$A$303,"&lt;"&amp;EDATE($A17,1))</f>
        <v>0</v>
      </c>
      <c r="C17" s="16">
        <f>SUMIFS(收支流水!$E$4:$E$303,收支流水!$B$4:$B$303,"收入",收支流水!$C$4:$C$303,C$5,收支流水!$A$4:$A$303,"&gt;="&amp;$A17,收支流水!$A$4:$A$303,"&lt;"&amp;EDATE($A17,1))</f>
        <v>0</v>
      </c>
      <c r="D17" s="16">
        <f>SUMIFS(收支流水!$E$4:$E$303,收支流水!$B$4:$B$303,"收入",收支流水!$C$4:$C$303,D$5,收支流水!$A$4:$A$303,"&gt;="&amp;$A17,收支流水!$A$4:$A$303,"&lt;"&amp;EDATE($A17,1))</f>
        <v>0</v>
      </c>
      <c r="E17" s="27">
        <f t="shared" si="0"/>
        <v>0</v>
      </c>
      <c r="F17" s="16">
        <f>SUMIFS(收支流水!$E$4:$E$303,收支流水!$B$4:$B$303,"支出",收支流水!$C$4:$C$303,F$5,收支流水!$A$4:$A$303,"&gt;="&amp;$A17,收支流水!$A$4:$A$303,"&lt;"&amp;EDATE($A17,1))</f>
        <v>0</v>
      </c>
      <c r="G17" s="16">
        <f>SUMIFS(收支流水!$E$4:$E$303,收支流水!$B$4:$B$303,"支出",收支流水!$C$4:$C$303,G$5,收支流水!$A$4:$A$303,"&gt;="&amp;$A17,收支流水!$A$4:$A$303,"&lt;"&amp;EDATE($A17,1))</f>
        <v>0</v>
      </c>
      <c r="H17" s="16">
        <f>SUMIFS(收支流水!$E$4:$E$303,收支流水!$B$4:$B$303,"支出",收支流水!$C$4:$C$303,H$5,收支流水!$A$4:$A$303,"&gt;="&amp;$A17,收支流水!$A$4:$A$303,"&lt;"&amp;EDATE($A17,1))</f>
        <v>0</v>
      </c>
      <c r="I17" s="16">
        <f>SUMIFS(收支流水!$E$4:$E$303,收支流水!$B$4:$B$303,"支出",收支流水!$C$4:$C$303,I$5,收支流水!$A$4:$A$303,"&gt;="&amp;$A17,收支流水!$A$4:$A$303,"&lt;"&amp;EDATE($A17,1))</f>
        <v>0</v>
      </c>
      <c r="J17" s="16">
        <f>SUMIFS(收支流水!$E$4:$E$303,收支流水!$B$4:$B$303,"支出",收支流水!$C$4:$C$303,J$5,收支流水!$A$4:$A$303,"&gt;="&amp;$A17,收支流水!$A$4:$A$303,"&lt;"&amp;EDATE($A17,1))</f>
        <v>0</v>
      </c>
      <c r="K17" s="27">
        <f t="shared" si="1"/>
        <v>0</v>
      </c>
      <c r="L17" s="27">
        <f t="shared" si="2"/>
        <v>0</v>
      </c>
      <c r="M17" s="29" t="str">
        <f t="shared" si="3"/>
        <v/>
      </c>
      <c r="N17" s="27">
        <f t="shared" si="4"/>
        <v>0</v>
      </c>
    </row>
    <row r="18" ht="14.5" spans="1:14">
      <c r="A18" s="35">
        <v>46631</v>
      </c>
      <c r="B18" s="16">
        <f>SUMIFS(收支流水!$E$4:$E$303,收支流水!$B$4:$B$303,"收入",收支流水!$C$4:$C$303,B$5,收支流水!$A$4:$A$303,"&gt;="&amp;$A18,收支流水!$A$4:$A$303,"&lt;"&amp;EDATE($A18,1))</f>
        <v>0</v>
      </c>
      <c r="C18" s="16">
        <f>SUMIFS(收支流水!$E$4:$E$303,收支流水!$B$4:$B$303,"收入",收支流水!$C$4:$C$303,C$5,收支流水!$A$4:$A$303,"&gt;="&amp;$A18,收支流水!$A$4:$A$303,"&lt;"&amp;EDATE($A18,1))</f>
        <v>0</v>
      </c>
      <c r="D18" s="16">
        <f>SUMIFS(收支流水!$E$4:$E$303,收支流水!$B$4:$B$303,"收入",收支流水!$C$4:$C$303,D$5,收支流水!$A$4:$A$303,"&gt;="&amp;$A18,收支流水!$A$4:$A$303,"&lt;"&amp;EDATE($A18,1))</f>
        <v>0</v>
      </c>
      <c r="E18" s="27">
        <f t="shared" si="0"/>
        <v>0</v>
      </c>
      <c r="F18" s="16">
        <f>SUMIFS(收支流水!$E$4:$E$303,收支流水!$B$4:$B$303,"支出",收支流水!$C$4:$C$303,F$5,收支流水!$A$4:$A$303,"&gt;="&amp;$A18,收支流水!$A$4:$A$303,"&lt;"&amp;EDATE($A18,1))</f>
        <v>0</v>
      </c>
      <c r="G18" s="16">
        <f>SUMIFS(收支流水!$E$4:$E$303,收支流水!$B$4:$B$303,"支出",收支流水!$C$4:$C$303,G$5,收支流水!$A$4:$A$303,"&gt;="&amp;$A18,收支流水!$A$4:$A$303,"&lt;"&amp;EDATE($A18,1))</f>
        <v>0</v>
      </c>
      <c r="H18" s="16">
        <f>SUMIFS(收支流水!$E$4:$E$303,收支流水!$B$4:$B$303,"支出",收支流水!$C$4:$C$303,H$5,收支流水!$A$4:$A$303,"&gt;="&amp;$A18,收支流水!$A$4:$A$303,"&lt;"&amp;EDATE($A18,1))</f>
        <v>0</v>
      </c>
      <c r="I18" s="16">
        <f>SUMIFS(收支流水!$E$4:$E$303,收支流水!$B$4:$B$303,"支出",收支流水!$C$4:$C$303,I$5,收支流水!$A$4:$A$303,"&gt;="&amp;$A18,收支流水!$A$4:$A$303,"&lt;"&amp;EDATE($A18,1))</f>
        <v>0</v>
      </c>
      <c r="J18" s="16">
        <f>SUMIFS(收支流水!$E$4:$E$303,收支流水!$B$4:$B$303,"支出",收支流水!$C$4:$C$303,J$5,收支流水!$A$4:$A$303,"&gt;="&amp;$A18,收支流水!$A$4:$A$303,"&lt;"&amp;EDATE($A18,1))</f>
        <v>0</v>
      </c>
      <c r="K18" s="27">
        <f t="shared" si="1"/>
        <v>0</v>
      </c>
      <c r="L18" s="27">
        <f t="shared" si="2"/>
        <v>0</v>
      </c>
      <c r="M18" s="29" t="str">
        <f t="shared" si="3"/>
        <v/>
      </c>
      <c r="N18" s="27">
        <f t="shared" si="4"/>
        <v>0</v>
      </c>
    </row>
    <row r="19" ht="14.5" spans="1:14">
      <c r="A19" s="35">
        <v>46661</v>
      </c>
      <c r="B19" s="16">
        <f>SUMIFS(收支流水!$E$4:$E$303,收支流水!$B$4:$B$303,"收入",收支流水!$C$4:$C$303,B$5,收支流水!$A$4:$A$303,"&gt;="&amp;$A19,收支流水!$A$4:$A$303,"&lt;"&amp;EDATE($A19,1))</f>
        <v>0</v>
      </c>
      <c r="C19" s="16">
        <f>SUMIFS(收支流水!$E$4:$E$303,收支流水!$B$4:$B$303,"收入",收支流水!$C$4:$C$303,C$5,收支流水!$A$4:$A$303,"&gt;="&amp;$A19,收支流水!$A$4:$A$303,"&lt;"&amp;EDATE($A19,1))</f>
        <v>0</v>
      </c>
      <c r="D19" s="16">
        <f>SUMIFS(收支流水!$E$4:$E$303,收支流水!$B$4:$B$303,"收入",收支流水!$C$4:$C$303,D$5,收支流水!$A$4:$A$303,"&gt;="&amp;$A19,收支流水!$A$4:$A$303,"&lt;"&amp;EDATE($A19,1))</f>
        <v>0</v>
      </c>
      <c r="E19" s="27">
        <f t="shared" si="0"/>
        <v>0</v>
      </c>
      <c r="F19" s="16">
        <f>SUMIFS(收支流水!$E$4:$E$303,收支流水!$B$4:$B$303,"支出",收支流水!$C$4:$C$303,F$5,收支流水!$A$4:$A$303,"&gt;="&amp;$A19,收支流水!$A$4:$A$303,"&lt;"&amp;EDATE($A19,1))</f>
        <v>0</v>
      </c>
      <c r="G19" s="16">
        <f>SUMIFS(收支流水!$E$4:$E$303,收支流水!$B$4:$B$303,"支出",收支流水!$C$4:$C$303,G$5,收支流水!$A$4:$A$303,"&gt;="&amp;$A19,收支流水!$A$4:$A$303,"&lt;"&amp;EDATE($A19,1))</f>
        <v>0</v>
      </c>
      <c r="H19" s="16">
        <f>SUMIFS(收支流水!$E$4:$E$303,收支流水!$B$4:$B$303,"支出",收支流水!$C$4:$C$303,H$5,收支流水!$A$4:$A$303,"&gt;="&amp;$A19,收支流水!$A$4:$A$303,"&lt;"&amp;EDATE($A19,1))</f>
        <v>0</v>
      </c>
      <c r="I19" s="16">
        <f>SUMIFS(收支流水!$E$4:$E$303,收支流水!$B$4:$B$303,"支出",收支流水!$C$4:$C$303,I$5,收支流水!$A$4:$A$303,"&gt;="&amp;$A19,收支流水!$A$4:$A$303,"&lt;"&amp;EDATE($A19,1))</f>
        <v>0</v>
      </c>
      <c r="J19" s="16">
        <f>SUMIFS(收支流水!$E$4:$E$303,收支流水!$B$4:$B$303,"支出",收支流水!$C$4:$C$303,J$5,收支流水!$A$4:$A$303,"&gt;="&amp;$A19,收支流水!$A$4:$A$303,"&lt;"&amp;EDATE($A19,1))</f>
        <v>0</v>
      </c>
      <c r="K19" s="27">
        <f t="shared" si="1"/>
        <v>0</v>
      </c>
      <c r="L19" s="27">
        <f t="shared" si="2"/>
        <v>0</v>
      </c>
      <c r="M19" s="29" t="str">
        <f t="shared" si="3"/>
        <v/>
      </c>
      <c r="N19" s="27">
        <f t="shared" si="4"/>
        <v>0</v>
      </c>
    </row>
    <row r="20" ht="14.5" spans="1:14">
      <c r="A20" s="35">
        <v>46692</v>
      </c>
      <c r="B20" s="16">
        <f>SUMIFS(收支流水!$E$4:$E$303,收支流水!$B$4:$B$303,"收入",收支流水!$C$4:$C$303,B$5,收支流水!$A$4:$A$303,"&gt;="&amp;$A20,收支流水!$A$4:$A$303,"&lt;"&amp;EDATE($A20,1))</f>
        <v>0</v>
      </c>
      <c r="C20" s="16">
        <f>SUMIFS(收支流水!$E$4:$E$303,收支流水!$B$4:$B$303,"收入",收支流水!$C$4:$C$303,C$5,收支流水!$A$4:$A$303,"&gt;="&amp;$A20,收支流水!$A$4:$A$303,"&lt;"&amp;EDATE($A20,1))</f>
        <v>0</v>
      </c>
      <c r="D20" s="16">
        <f>SUMIFS(收支流水!$E$4:$E$303,收支流水!$B$4:$B$303,"收入",收支流水!$C$4:$C$303,D$5,收支流水!$A$4:$A$303,"&gt;="&amp;$A20,收支流水!$A$4:$A$303,"&lt;"&amp;EDATE($A20,1))</f>
        <v>0</v>
      </c>
      <c r="E20" s="27">
        <f t="shared" si="0"/>
        <v>0</v>
      </c>
      <c r="F20" s="16">
        <f>SUMIFS(收支流水!$E$4:$E$303,收支流水!$B$4:$B$303,"支出",收支流水!$C$4:$C$303,F$5,收支流水!$A$4:$A$303,"&gt;="&amp;$A20,收支流水!$A$4:$A$303,"&lt;"&amp;EDATE($A20,1))</f>
        <v>0</v>
      </c>
      <c r="G20" s="16">
        <f>SUMIFS(收支流水!$E$4:$E$303,收支流水!$B$4:$B$303,"支出",收支流水!$C$4:$C$303,G$5,收支流水!$A$4:$A$303,"&gt;="&amp;$A20,收支流水!$A$4:$A$303,"&lt;"&amp;EDATE($A20,1))</f>
        <v>0</v>
      </c>
      <c r="H20" s="16">
        <f>SUMIFS(收支流水!$E$4:$E$303,收支流水!$B$4:$B$303,"支出",收支流水!$C$4:$C$303,H$5,收支流水!$A$4:$A$303,"&gt;="&amp;$A20,收支流水!$A$4:$A$303,"&lt;"&amp;EDATE($A20,1))</f>
        <v>0</v>
      </c>
      <c r="I20" s="16">
        <f>SUMIFS(收支流水!$E$4:$E$303,收支流水!$B$4:$B$303,"支出",收支流水!$C$4:$C$303,I$5,收支流水!$A$4:$A$303,"&gt;="&amp;$A20,收支流水!$A$4:$A$303,"&lt;"&amp;EDATE($A20,1))</f>
        <v>0</v>
      </c>
      <c r="J20" s="16">
        <f>SUMIFS(收支流水!$E$4:$E$303,收支流水!$B$4:$B$303,"支出",收支流水!$C$4:$C$303,J$5,收支流水!$A$4:$A$303,"&gt;="&amp;$A20,收支流水!$A$4:$A$303,"&lt;"&amp;EDATE($A20,1))</f>
        <v>0</v>
      </c>
      <c r="K20" s="27">
        <f t="shared" si="1"/>
        <v>0</v>
      </c>
      <c r="L20" s="27">
        <f t="shared" si="2"/>
        <v>0</v>
      </c>
      <c r="M20" s="29" t="str">
        <f t="shared" si="3"/>
        <v/>
      </c>
      <c r="N20" s="27">
        <f t="shared" si="4"/>
        <v>0</v>
      </c>
    </row>
    <row r="21" ht="14.5" spans="1:14">
      <c r="A21" s="35">
        <v>46722</v>
      </c>
      <c r="B21" s="16">
        <f>SUMIFS(收支流水!$E$4:$E$303,收支流水!$B$4:$B$303,"收入",收支流水!$C$4:$C$303,B$5,收支流水!$A$4:$A$303,"&gt;="&amp;$A21,收支流水!$A$4:$A$303,"&lt;"&amp;EDATE($A21,1))</f>
        <v>0</v>
      </c>
      <c r="C21" s="16">
        <f>SUMIFS(收支流水!$E$4:$E$303,收支流水!$B$4:$B$303,"收入",收支流水!$C$4:$C$303,C$5,收支流水!$A$4:$A$303,"&gt;="&amp;$A21,收支流水!$A$4:$A$303,"&lt;"&amp;EDATE($A21,1))</f>
        <v>0</v>
      </c>
      <c r="D21" s="16">
        <f>SUMIFS(收支流水!$E$4:$E$303,收支流水!$B$4:$B$303,"收入",收支流水!$C$4:$C$303,D$5,收支流水!$A$4:$A$303,"&gt;="&amp;$A21,收支流水!$A$4:$A$303,"&lt;"&amp;EDATE($A21,1))</f>
        <v>0</v>
      </c>
      <c r="E21" s="27">
        <f t="shared" si="0"/>
        <v>0</v>
      </c>
      <c r="F21" s="16">
        <f>SUMIFS(收支流水!$E$4:$E$303,收支流水!$B$4:$B$303,"支出",收支流水!$C$4:$C$303,F$5,收支流水!$A$4:$A$303,"&gt;="&amp;$A21,收支流水!$A$4:$A$303,"&lt;"&amp;EDATE($A21,1))</f>
        <v>0</v>
      </c>
      <c r="G21" s="16">
        <f>SUMIFS(收支流水!$E$4:$E$303,收支流水!$B$4:$B$303,"支出",收支流水!$C$4:$C$303,G$5,收支流水!$A$4:$A$303,"&gt;="&amp;$A21,收支流水!$A$4:$A$303,"&lt;"&amp;EDATE($A21,1))</f>
        <v>0</v>
      </c>
      <c r="H21" s="16">
        <f>SUMIFS(收支流水!$E$4:$E$303,收支流水!$B$4:$B$303,"支出",收支流水!$C$4:$C$303,H$5,收支流水!$A$4:$A$303,"&gt;="&amp;$A21,收支流水!$A$4:$A$303,"&lt;"&amp;EDATE($A21,1))</f>
        <v>0</v>
      </c>
      <c r="I21" s="16">
        <f>SUMIFS(收支流水!$E$4:$E$303,收支流水!$B$4:$B$303,"支出",收支流水!$C$4:$C$303,I$5,收支流水!$A$4:$A$303,"&gt;="&amp;$A21,收支流水!$A$4:$A$303,"&lt;"&amp;EDATE($A21,1))</f>
        <v>0</v>
      </c>
      <c r="J21" s="16">
        <f>SUMIFS(收支流水!$E$4:$E$303,收支流水!$B$4:$B$303,"支出",收支流水!$C$4:$C$303,J$5,收支流水!$A$4:$A$303,"&gt;="&amp;$A21,收支流水!$A$4:$A$303,"&lt;"&amp;EDATE($A21,1))</f>
        <v>0</v>
      </c>
      <c r="K21" s="27">
        <f t="shared" si="1"/>
        <v>0</v>
      </c>
      <c r="L21" s="27">
        <f t="shared" si="2"/>
        <v>0</v>
      </c>
      <c r="M21" s="29" t="str">
        <f t="shared" si="3"/>
        <v/>
      </c>
      <c r="N21" s="27">
        <f t="shared" si="4"/>
        <v>0</v>
      </c>
    </row>
    <row r="22" ht="14.5" spans="1:14">
      <c r="A22" s="35">
        <v>46753</v>
      </c>
      <c r="B22" s="16">
        <f>SUMIFS(收支流水!$E$4:$E$303,收支流水!$B$4:$B$303,"收入",收支流水!$C$4:$C$303,B$5,收支流水!$A$4:$A$303,"&gt;="&amp;$A22,收支流水!$A$4:$A$303,"&lt;"&amp;EDATE($A22,1))</f>
        <v>0</v>
      </c>
      <c r="C22" s="16">
        <f>SUMIFS(收支流水!$E$4:$E$303,收支流水!$B$4:$B$303,"收入",收支流水!$C$4:$C$303,C$5,收支流水!$A$4:$A$303,"&gt;="&amp;$A22,收支流水!$A$4:$A$303,"&lt;"&amp;EDATE($A22,1))</f>
        <v>0</v>
      </c>
      <c r="D22" s="16">
        <f>SUMIFS(收支流水!$E$4:$E$303,收支流水!$B$4:$B$303,"收入",收支流水!$C$4:$C$303,D$5,收支流水!$A$4:$A$303,"&gt;="&amp;$A22,收支流水!$A$4:$A$303,"&lt;"&amp;EDATE($A22,1))</f>
        <v>0</v>
      </c>
      <c r="E22" s="27">
        <f t="shared" si="0"/>
        <v>0</v>
      </c>
      <c r="F22" s="16">
        <f>SUMIFS(收支流水!$E$4:$E$303,收支流水!$B$4:$B$303,"支出",收支流水!$C$4:$C$303,F$5,收支流水!$A$4:$A$303,"&gt;="&amp;$A22,收支流水!$A$4:$A$303,"&lt;"&amp;EDATE($A22,1))</f>
        <v>0</v>
      </c>
      <c r="G22" s="16">
        <f>SUMIFS(收支流水!$E$4:$E$303,收支流水!$B$4:$B$303,"支出",收支流水!$C$4:$C$303,G$5,收支流水!$A$4:$A$303,"&gt;="&amp;$A22,收支流水!$A$4:$A$303,"&lt;"&amp;EDATE($A22,1))</f>
        <v>0</v>
      </c>
      <c r="H22" s="16">
        <f>SUMIFS(收支流水!$E$4:$E$303,收支流水!$B$4:$B$303,"支出",收支流水!$C$4:$C$303,H$5,收支流水!$A$4:$A$303,"&gt;="&amp;$A22,收支流水!$A$4:$A$303,"&lt;"&amp;EDATE($A22,1))</f>
        <v>0</v>
      </c>
      <c r="I22" s="16">
        <f>SUMIFS(收支流水!$E$4:$E$303,收支流水!$B$4:$B$303,"支出",收支流水!$C$4:$C$303,I$5,收支流水!$A$4:$A$303,"&gt;="&amp;$A22,收支流水!$A$4:$A$303,"&lt;"&amp;EDATE($A22,1))</f>
        <v>0</v>
      </c>
      <c r="J22" s="16">
        <f>SUMIFS(收支流水!$E$4:$E$303,收支流水!$B$4:$B$303,"支出",收支流水!$C$4:$C$303,J$5,收支流水!$A$4:$A$303,"&gt;="&amp;$A22,收支流水!$A$4:$A$303,"&lt;"&amp;EDATE($A22,1))</f>
        <v>0</v>
      </c>
      <c r="K22" s="27">
        <f t="shared" si="1"/>
        <v>0</v>
      </c>
      <c r="L22" s="27">
        <f t="shared" si="2"/>
        <v>0</v>
      </c>
      <c r="M22" s="29" t="str">
        <f t="shared" si="3"/>
        <v/>
      </c>
      <c r="N22" s="27">
        <f t="shared" si="4"/>
        <v>0</v>
      </c>
    </row>
    <row r="23" ht="14.5" spans="1:14">
      <c r="A23" s="35">
        <v>46784</v>
      </c>
      <c r="B23" s="16">
        <f>SUMIFS(收支流水!$E$4:$E$303,收支流水!$B$4:$B$303,"收入",收支流水!$C$4:$C$303,B$5,收支流水!$A$4:$A$303,"&gt;="&amp;$A23,收支流水!$A$4:$A$303,"&lt;"&amp;EDATE($A23,1))</f>
        <v>0</v>
      </c>
      <c r="C23" s="16">
        <f>SUMIFS(收支流水!$E$4:$E$303,收支流水!$B$4:$B$303,"收入",收支流水!$C$4:$C$303,C$5,收支流水!$A$4:$A$303,"&gt;="&amp;$A23,收支流水!$A$4:$A$303,"&lt;"&amp;EDATE($A23,1))</f>
        <v>0</v>
      </c>
      <c r="D23" s="16">
        <f>SUMIFS(收支流水!$E$4:$E$303,收支流水!$B$4:$B$303,"收入",收支流水!$C$4:$C$303,D$5,收支流水!$A$4:$A$303,"&gt;="&amp;$A23,收支流水!$A$4:$A$303,"&lt;"&amp;EDATE($A23,1))</f>
        <v>0</v>
      </c>
      <c r="E23" s="27">
        <f t="shared" si="0"/>
        <v>0</v>
      </c>
      <c r="F23" s="16">
        <f>SUMIFS(收支流水!$E$4:$E$303,收支流水!$B$4:$B$303,"支出",收支流水!$C$4:$C$303,F$5,收支流水!$A$4:$A$303,"&gt;="&amp;$A23,收支流水!$A$4:$A$303,"&lt;"&amp;EDATE($A23,1))</f>
        <v>0</v>
      </c>
      <c r="G23" s="16">
        <f>SUMIFS(收支流水!$E$4:$E$303,收支流水!$B$4:$B$303,"支出",收支流水!$C$4:$C$303,G$5,收支流水!$A$4:$A$303,"&gt;="&amp;$A23,收支流水!$A$4:$A$303,"&lt;"&amp;EDATE($A23,1))</f>
        <v>0</v>
      </c>
      <c r="H23" s="16">
        <f>SUMIFS(收支流水!$E$4:$E$303,收支流水!$B$4:$B$303,"支出",收支流水!$C$4:$C$303,H$5,收支流水!$A$4:$A$303,"&gt;="&amp;$A23,收支流水!$A$4:$A$303,"&lt;"&amp;EDATE($A23,1))</f>
        <v>0</v>
      </c>
      <c r="I23" s="16">
        <f>SUMIFS(收支流水!$E$4:$E$303,收支流水!$B$4:$B$303,"支出",收支流水!$C$4:$C$303,I$5,收支流水!$A$4:$A$303,"&gt;="&amp;$A23,收支流水!$A$4:$A$303,"&lt;"&amp;EDATE($A23,1))</f>
        <v>0</v>
      </c>
      <c r="J23" s="16">
        <f>SUMIFS(收支流水!$E$4:$E$303,收支流水!$B$4:$B$303,"支出",收支流水!$C$4:$C$303,J$5,收支流水!$A$4:$A$303,"&gt;="&amp;$A23,收支流水!$A$4:$A$303,"&lt;"&amp;EDATE($A23,1))</f>
        <v>0</v>
      </c>
      <c r="K23" s="27">
        <f t="shared" si="1"/>
        <v>0</v>
      </c>
      <c r="L23" s="27">
        <f t="shared" si="2"/>
        <v>0</v>
      </c>
      <c r="M23" s="29" t="str">
        <f t="shared" si="3"/>
        <v/>
      </c>
      <c r="N23" s="27">
        <f t="shared" si="4"/>
        <v>0</v>
      </c>
    </row>
    <row r="24" ht="14.5" spans="1:14">
      <c r="A24" s="35">
        <v>46813</v>
      </c>
      <c r="B24" s="16">
        <f>SUMIFS(收支流水!$E$4:$E$303,收支流水!$B$4:$B$303,"收入",收支流水!$C$4:$C$303,B$5,收支流水!$A$4:$A$303,"&gt;="&amp;$A24,收支流水!$A$4:$A$303,"&lt;"&amp;EDATE($A24,1))</f>
        <v>0</v>
      </c>
      <c r="C24" s="16">
        <f>SUMIFS(收支流水!$E$4:$E$303,收支流水!$B$4:$B$303,"收入",收支流水!$C$4:$C$303,C$5,收支流水!$A$4:$A$303,"&gt;="&amp;$A24,收支流水!$A$4:$A$303,"&lt;"&amp;EDATE($A24,1))</f>
        <v>0</v>
      </c>
      <c r="D24" s="16">
        <f>SUMIFS(收支流水!$E$4:$E$303,收支流水!$B$4:$B$303,"收入",收支流水!$C$4:$C$303,D$5,收支流水!$A$4:$A$303,"&gt;="&amp;$A24,收支流水!$A$4:$A$303,"&lt;"&amp;EDATE($A24,1))</f>
        <v>0</v>
      </c>
      <c r="E24" s="27">
        <f t="shared" si="0"/>
        <v>0</v>
      </c>
      <c r="F24" s="16">
        <f>SUMIFS(收支流水!$E$4:$E$303,收支流水!$B$4:$B$303,"支出",收支流水!$C$4:$C$303,F$5,收支流水!$A$4:$A$303,"&gt;="&amp;$A24,收支流水!$A$4:$A$303,"&lt;"&amp;EDATE($A24,1))</f>
        <v>0</v>
      </c>
      <c r="G24" s="16">
        <f>SUMIFS(收支流水!$E$4:$E$303,收支流水!$B$4:$B$303,"支出",收支流水!$C$4:$C$303,G$5,收支流水!$A$4:$A$303,"&gt;="&amp;$A24,收支流水!$A$4:$A$303,"&lt;"&amp;EDATE($A24,1))</f>
        <v>0</v>
      </c>
      <c r="H24" s="16">
        <f>SUMIFS(收支流水!$E$4:$E$303,收支流水!$B$4:$B$303,"支出",收支流水!$C$4:$C$303,H$5,收支流水!$A$4:$A$303,"&gt;="&amp;$A24,收支流水!$A$4:$A$303,"&lt;"&amp;EDATE($A24,1))</f>
        <v>0</v>
      </c>
      <c r="I24" s="16">
        <f>SUMIFS(收支流水!$E$4:$E$303,收支流水!$B$4:$B$303,"支出",收支流水!$C$4:$C$303,I$5,收支流水!$A$4:$A$303,"&gt;="&amp;$A24,收支流水!$A$4:$A$303,"&lt;"&amp;EDATE($A24,1))</f>
        <v>0</v>
      </c>
      <c r="J24" s="16">
        <f>SUMIFS(收支流水!$E$4:$E$303,收支流水!$B$4:$B$303,"支出",收支流水!$C$4:$C$303,J$5,收支流水!$A$4:$A$303,"&gt;="&amp;$A24,收支流水!$A$4:$A$303,"&lt;"&amp;EDATE($A24,1))</f>
        <v>0</v>
      </c>
      <c r="K24" s="27">
        <f t="shared" si="1"/>
        <v>0</v>
      </c>
      <c r="L24" s="27">
        <f t="shared" si="2"/>
        <v>0</v>
      </c>
      <c r="M24" s="29" t="str">
        <f t="shared" si="3"/>
        <v/>
      </c>
      <c r="N24" s="27">
        <f t="shared" si="4"/>
        <v>0</v>
      </c>
    </row>
    <row r="25" ht="14.5" spans="1:14">
      <c r="A25" s="35">
        <v>46844</v>
      </c>
      <c r="B25" s="16">
        <f>SUMIFS(收支流水!$E$4:$E$303,收支流水!$B$4:$B$303,"收入",收支流水!$C$4:$C$303,B$5,收支流水!$A$4:$A$303,"&gt;="&amp;$A25,收支流水!$A$4:$A$303,"&lt;"&amp;EDATE($A25,1))</f>
        <v>0</v>
      </c>
      <c r="C25" s="16">
        <f>SUMIFS(收支流水!$E$4:$E$303,收支流水!$B$4:$B$303,"收入",收支流水!$C$4:$C$303,C$5,收支流水!$A$4:$A$303,"&gt;="&amp;$A25,收支流水!$A$4:$A$303,"&lt;"&amp;EDATE($A25,1))</f>
        <v>0</v>
      </c>
      <c r="D25" s="16">
        <f>SUMIFS(收支流水!$E$4:$E$303,收支流水!$B$4:$B$303,"收入",收支流水!$C$4:$C$303,D$5,收支流水!$A$4:$A$303,"&gt;="&amp;$A25,收支流水!$A$4:$A$303,"&lt;"&amp;EDATE($A25,1))</f>
        <v>0</v>
      </c>
      <c r="E25" s="27">
        <f t="shared" si="0"/>
        <v>0</v>
      </c>
      <c r="F25" s="16">
        <f>SUMIFS(收支流水!$E$4:$E$303,收支流水!$B$4:$B$303,"支出",收支流水!$C$4:$C$303,F$5,收支流水!$A$4:$A$303,"&gt;="&amp;$A25,收支流水!$A$4:$A$303,"&lt;"&amp;EDATE($A25,1))</f>
        <v>0</v>
      </c>
      <c r="G25" s="16">
        <f>SUMIFS(收支流水!$E$4:$E$303,收支流水!$B$4:$B$303,"支出",收支流水!$C$4:$C$303,G$5,收支流水!$A$4:$A$303,"&gt;="&amp;$A25,收支流水!$A$4:$A$303,"&lt;"&amp;EDATE($A25,1))</f>
        <v>0</v>
      </c>
      <c r="H25" s="16">
        <f>SUMIFS(收支流水!$E$4:$E$303,收支流水!$B$4:$B$303,"支出",收支流水!$C$4:$C$303,H$5,收支流水!$A$4:$A$303,"&gt;="&amp;$A25,收支流水!$A$4:$A$303,"&lt;"&amp;EDATE($A25,1))</f>
        <v>0</v>
      </c>
      <c r="I25" s="16">
        <f>SUMIFS(收支流水!$E$4:$E$303,收支流水!$B$4:$B$303,"支出",收支流水!$C$4:$C$303,I$5,收支流水!$A$4:$A$303,"&gt;="&amp;$A25,收支流水!$A$4:$A$303,"&lt;"&amp;EDATE($A25,1))</f>
        <v>0</v>
      </c>
      <c r="J25" s="16">
        <f>SUMIFS(收支流水!$E$4:$E$303,收支流水!$B$4:$B$303,"支出",收支流水!$C$4:$C$303,J$5,收支流水!$A$4:$A$303,"&gt;="&amp;$A25,收支流水!$A$4:$A$303,"&lt;"&amp;EDATE($A25,1))</f>
        <v>0</v>
      </c>
      <c r="K25" s="27">
        <f t="shared" si="1"/>
        <v>0</v>
      </c>
      <c r="L25" s="27">
        <f t="shared" si="2"/>
        <v>0</v>
      </c>
      <c r="M25" s="29" t="str">
        <f t="shared" si="3"/>
        <v/>
      </c>
      <c r="N25" s="27">
        <f t="shared" si="4"/>
        <v>0</v>
      </c>
    </row>
    <row r="26" ht="14.5" spans="1:14">
      <c r="A26" s="35">
        <v>46874</v>
      </c>
      <c r="B26" s="16">
        <f>SUMIFS(收支流水!$E$4:$E$303,收支流水!$B$4:$B$303,"收入",收支流水!$C$4:$C$303,B$5,收支流水!$A$4:$A$303,"&gt;="&amp;$A26,收支流水!$A$4:$A$303,"&lt;"&amp;EDATE($A26,1))</f>
        <v>0</v>
      </c>
      <c r="C26" s="16">
        <f>SUMIFS(收支流水!$E$4:$E$303,收支流水!$B$4:$B$303,"收入",收支流水!$C$4:$C$303,C$5,收支流水!$A$4:$A$303,"&gt;="&amp;$A26,收支流水!$A$4:$A$303,"&lt;"&amp;EDATE($A26,1))</f>
        <v>0</v>
      </c>
      <c r="D26" s="16">
        <f>SUMIFS(收支流水!$E$4:$E$303,收支流水!$B$4:$B$303,"收入",收支流水!$C$4:$C$303,D$5,收支流水!$A$4:$A$303,"&gt;="&amp;$A26,收支流水!$A$4:$A$303,"&lt;"&amp;EDATE($A26,1))</f>
        <v>0</v>
      </c>
      <c r="E26" s="27">
        <f t="shared" si="0"/>
        <v>0</v>
      </c>
      <c r="F26" s="16">
        <f>SUMIFS(收支流水!$E$4:$E$303,收支流水!$B$4:$B$303,"支出",收支流水!$C$4:$C$303,F$5,收支流水!$A$4:$A$303,"&gt;="&amp;$A26,收支流水!$A$4:$A$303,"&lt;"&amp;EDATE($A26,1))</f>
        <v>0</v>
      </c>
      <c r="G26" s="16">
        <f>SUMIFS(收支流水!$E$4:$E$303,收支流水!$B$4:$B$303,"支出",收支流水!$C$4:$C$303,G$5,收支流水!$A$4:$A$303,"&gt;="&amp;$A26,收支流水!$A$4:$A$303,"&lt;"&amp;EDATE($A26,1))</f>
        <v>0</v>
      </c>
      <c r="H26" s="16">
        <f>SUMIFS(收支流水!$E$4:$E$303,收支流水!$B$4:$B$303,"支出",收支流水!$C$4:$C$303,H$5,收支流水!$A$4:$A$303,"&gt;="&amp;$A26,收支流水!$A$4:$A$303,"&lt;"&amp;EDATE($A26,1))</f>
        <v>0</v>
      </c>
      <c r="I26" s="16">
        <f>SUMIFS(收支流水!$E$4:$E$303,收支流水!$B$4:$B$303,"支出",收支流水!$C$4:$C$303,I$5,收支流水!$A$4:$A$303,"&gt;="&amp;$A26,收支流水!$A$4:$A$303,"&lt;"&amp;EDATE($A26,1))</f>
        <v>0</v>
      </c>
      <c r="J26" s="16">
        <f>SUMIFS(收支流水!$E$4:$E$303,收支流水!$B$4:$B$303,"支出",收支流水!$C$4:$C$303,J$5,收支流水!$A$4:$A$303,"&gt;="&amp;$A26,收支流水!$A$4:$A$303,"&lt;"&amp;EDATE($A26,1))</f>
        <v>0</v>
      </c>
      <c r="K26" s="27">
        <f t="shared" si="1"/>
        <v>0</v>
      </c>
      <c r="L26" s="27">
        <f t="shared" si="2"/>
        <v>0</v>
      </c>
      <c r="M26" s="29" t="str">
        <f t="shared" si="3"/>
        <v/>
      </c>
      <c r="N26" s="27">
        <f t="shared" si="4"/>
        <v>0</v>
      </c>
    </row>
    <row r="27" ht="14.5" spans="1:14">
      <c r="A27" s="35">
        <v>46905</v>
      </c>
      <c r="B27" s="16">
        <f>SUMIFS(收支流水!$E$4:$E$303,收支流水!$B$4:$B$303,"收入",收支流水!$C$4:$C$303,B$5,收支流水!$A$4:$A$303,"&gt;="&amp;$A27,收支流水!$A$4:$A$303,"&lt;"&amp;EDATE($A27,1))</f>
        <v>0</v>
      </c>
      <c r="C27" s="16">
        <f>SUMIFS(收支流水!$E$4:$E$303,收支流水!$B$4:$B$303,"收入",收支流水!$C$4:$C$303,C$5,收支流水!$A$4:$A$303,"&gt;="&amp;$A27,收支流水!$A$4:$A$303,"&lt;"&amp;EDATE($A27,1))</f>
        <v>0</v>
      </c>
      <c r="D27" s="16">
        <f>SUMIFS(收支流水!$E$4:$E$303,收支流水!$B$4:$B$303,"收入",收支流水!$C$4:$C$303,D$5,收支流水!$A$4:$A$303,"&gt;="&amp;$A27,收支流水!$A$4:$A$303,"&lt;"&amp;EDATE($A27,1))</f>
        <v>0</v>
      </c>
      <c r="E27" s="27">
        <f t="shared" si="0"/>
        <v>0</v>
      </c>
      <c r="F27" s="16">
        <f>SUMIFS(收支流水!$E$4:$E$303,收支流水!$B$4:$B$303,"支出",收支流水!$C$4:$C$303,F$5,收支流水!$A$4:$A$303,"&gt;="&amp;$A27,收支流水!$A$4:$A$303,"&lt;"&amp;EDATE($A27,1))</f>
        <v>0</v>
      </c>
      <c r="G27" s="16">
        <f>SUMIFS(收支流水!$E$4:$E$303,收支流水!$B$4:$B$303,"支出",收支流水!$C$4:$C$303,G$5,收支流水!$A$4:$A$303,"&gt;="&amp;$A27,收支流水!$A$4:$A$303,"&lt;"&amp;EDATE($A27,1))</f>
        <v>0</v>
      </c>
      <c r="H27" s="16">
        <f>SUMIFS(收支流水!$E$4:$E$303,收支流水!$B$4:$B$303,"支出",收支流水!$C$4:$C$303,H$5,收支流水!$A$4:$A$303,"&gt;="&amp;$A27,收支流水!$A$4:$A$303,"&lt;"&amp;EDATE($A27,1))</f>
        <v>0</v>
      </c>
      <c r="I27" s="16">
        <f>SUMIFS(收支流水!$E$4:$E$303,收支流水!$B$4:$B$303,"支出",收支流水!$C$4:$C$303,I$5,收支流水!$A$4:$A$303,"&gt;="&amp;$A27,收支流水!$A$4:$A$303,"&lt;"&amp;EDATE($A27,1))</f>
        <v>0</v>
      </c>
      <c r="J27" s="16">
        <f>SUMIFS(收支流水!$E$4:$E$303,收支流水!$B$4:$B$303,"支出",收支流水!$C$4:$C$303,J$5,收支流水!$A$4:$A$303,"&gt;="&amp;$A27,收支流水!$A$4:$A$303,"&lt;"&amp;EDATE($A27,1))</f>
        <v>0</v>
      </c>
      <c r="K27" s="27">
        <f t="shared" si="1"/>
        <v>0</v>
      </c>
      <c r="L27" s="27">
        <f t="shared" si="2"/>
        <v>0</v>
      </c>
      <c r="M27" s="29" t="str">
        <f t="shared" si="3"/>
        <v/>
      </c>
      <c r="N27" s="27">
        <f t="shared" si="4"/>
        <v>0</v>
      </c>
    </row>
    <row r="28" ht="14.5" spans="1:14">
      <c r="A28" s="35">
        <v>46935</v>
      </c>
      <c r="B28" s="16">
        <f>SUMIFS(收支流水!$E$4:$E$303,收支流水!$B$4:$B$303,"收入",收支流水!$C$4:$C$303,B$5,收支流水!$A$4:$A$303,"&gt;="&amp;$A28,收支流水!$A$4:$A$303,"&lt;"&amp;EDATE($A28,1))</f>
        <v>0</v>
      </c>
      <c r="C28" s="16">
        <f>SUMIFS(收支流水!$E$4:$E$303,收支流水!$B$4:$B$303,"收入",收支流水!$C$4:$C$303,C$5,收支流水!$A$4:$A$303,"&gt;="&amp;$A28,收支流水!$A$4:$A$303,"&lt;"&amp;EDATE($A28,1))</f>
        <v>0</v>
      </c>
      <c r="D28" s="16">
        <f>SUMIFS(收支流水!$E$4:$E$303,收支流水!$B$4:$B$303,"收入",收支流水!$C$4:$C$303,D$5,收支流水!$A$4:$A$303,"&gt;="&amp;$A28,收支流水!$A$4:$A$303,"&lt;"&amp;EDATE($A28,1))</f>
        <v>0</v>
      </c>
      <c r="E28" s="27">
        <f t="shared" si="0"/>
        <v>0</v>
      </c>
      <c r="F28" s="16">
        <f>SUMIFS(收支流水!$E$4:$E$303,收支流水!$B$4:$B$303,"支出",收支流水!$C$4:$C$303,F$5,收支流水!$A$4:$A$303,"&gt;="&amp;$A28,收支流水!$A$4:$A$303,"&lt;"&amp;EDATE($A28,1))</f>
        <v>0</v>
      </c>
      <c r="G28" s="16">
        <f>SUMIFS(收支流水!$E$4:$E$303,收支流水!$B$4:$B$303,"支出",收支流水!$C$4:$C$303,G$5,收支流水!$A$4:$A$303,"&gt;="&amp;$A28,收支流水!$A$4:$A$303,"&lt;"&amp;EDATE($A28,1))</f>
        <v>0</v>
      </c>
      <c r="H28" s="16">
        <f>SUMIFS(收支流水!$E$4:$E$303,收支流水!$B$4:$B$303,"支出",收支流水!$C$4:$C$303,H$5,收支流水!$A$4:$A$303,"&gt;="&amp;$A28,收支流水!$A$4:$A$303,"&lt;"&amp;EDATE($A28,1))</f>
        <v>0</v>
      </c>
      <c r="I28" s="16">
        <f>SUMIFS(收支流水!$E$4:$E$303,收支流水!$B$4:$B$303,"支出",收支流水!$C$4:$C$303,I$5,收支流水!$A$4:$A$303,"&gt;="&amp;$A28,收支流水!$A$4:$A$303,"&lt;"&amp;EDATE($A28,1))</f>
        <v>0</v>
      </c>
      <c r="J28" s="16">
        <f>SUMIFS(收支流水!$E$4:$E$303,收支流水!$B$4:$B$303,"支出",收支流水!$C$4:$C$303,J$5,收支流水!$A$4:$A$303,"&gt;="&amp;$A28,收支流水!$A$4:$A$303,"&lt;"&amp;EDATE($A28,1))</f>
        <v>0</v>
      </c>
      <c r="K28" s="27">
        <f t="shared" si="1"/>
        <v>0</v>
      </c>
      <c r="L28" s="27">
        <f t="shared" si="2"/>
        <v>0</v>
      </c>
      <c r="M28" s="29" t="str">
        <f t="shared" si="3"/>
        <v/>
      </c>
      <c r="N28" s="27">
        <f t="shared" si="4"/>
        <v>0</v>
      </c>
    </row>
    <row r="29" ht="14.5" spans="1:14">
      <c r="A29" s="35">
        <v>46966</v>
      </c>
      <c r="B29" s="16">
        <f>SUMIFS(收支流水!$E$4:$E$303,收支流水!$B$4:$B$303,"收入",收支流水!$C$4:$C$303,B$5,收支流水!$A$4:$A$303,"&gt;="&amp;$A29,收支流水!$A$4:$A$303,"&lt;"&amp;EDATE($A29,1))</f>
        <v>0</v>
      </c>
      <c r="C29" s="16">
        <f>SUMIFS(收支流水!$E$4:$E$303,收支流水!$B$4:$B$303,"收入",收支流水!$C$4:$C$303,C$5,收支流水!$A$4:$A$303,"&gt;="&amp;$A29,收支流水!$A$4:$A$303,"&lt;"&amp;EDATE($A29,1))</f>
        <v>0</v>
      </c>
      <c r="D29" s="16">
        <f>SUMIFS(收支流水!$E$4:$E$303,收支流水!$B$4:$B$303,"收入",收支流水!$C$4:$C$303,D$5,收支流水!$A$4:$A$303,"&gt;="&amp;$A29,收支流水!$A$4:$A$303,"&lt;"&amp;EDATE($A29,1))</f>
        <v>0</v>
      </c>
      <c r="E29" s="27">
        <f t="shared" si="0"/>
        <v>0</v>
      </c>
      <c r="F29" s="16">
        <f>SUMIFS(收支流水!$E$4:$E$303,收支流水!$B$4:$B$303,"支出",收支流水!$C$4:$C$303,F$5,收支流水!$A$4:$A$303,"&gt;="&amp;$A29,收支流水!$A$4:$A$303,"&lt;"&amp;EDATE($A29,1))</f>
        <v>0</v>
      </c>
      <c r="G29" s="16">
        <f>SUMIFS(收支流水!$E$4:$E$303,收支流水!$B$4:$B$303,"支出",收支流水!$C$4:$C$303,G$5,收支流水!$A$4:$A$303,"&gt;="&amp;$A29,收支流水!$A$4:$A$303,"&lt;"&amp;EDATE($A29,1))</f>
        <v>0</v>
      </c>
      <c r="H29" s="16">
        <f>SUMIFS(收支流水!$E$4:$E$303,收支流水!$B$4:$B$303,"支出",收支流水!$C$4:$C$303,H$5,收支流水!$A$4:$A$303,"&gt;="&amp;$A29,收支流水!$A$4:$A$303,"&lt;"&amp;EDATE($A29,1))</f>
        <v>0</v>
      </c>
      <c r="I29" s="16">
        <f>SUMIFS(收支流水!$E$4:$E$303,收支流水!$B$4:$B$303,"支出",收支流水!$C$4:$C$303,I$5,收支流水!$A$4:$A$303,"&gt;="&amp;$A29,收支流水!$A$4:$A$303,"&lt;"&amp;EDATE($A29,1))</f>
        <v>0</v>
      </c>
      <c r="J29" s="16">
        <f>SUMIFS(收支流水!$E$4:$E$303,收支流水!$B$4:$B$303,"支出",收支流水!$C$4:$C$303,J$5,收支流水!$A$4:$A$303,"&gt;="&amp;$A29,收支流水!$A$4:$A$303,"&lt;"&amp;EDATE($A29,1))</f>
        <v>0</v>
      </c>
      <c r="K29" s="27">
        <f t="shared" si="1"/>
        <v>0</v>
      </c>
      <c r="L29" s="27">
        <f t="shared" si="2"/>
        <v>0</v>
      </c>
      <c r="M29" s="29" t="str">
        <f t="shared" si="3"/>
        <v/>
      </c>
      <c r="N29" s="27">
        <f t="shared" si="4"/>
        <v>0</v>
      </c>
    </row>
    <row r="31" ht="20" customHeight="1" spans="1:14">
      <c r="A31" s="3" t="s">
        <v>308</v>
      </c>
    </row>
    <row r="32" ht="30" customHeight="1" spans="1:14">
      <c r="A32" s="7" t="s">
        <v>309</v>
      </c>
      <c r="B32" s="7" t="s">
        <v>298</v>
      </c>
      <c r="C32" s="7" t="s">
        <v>304</v>
      </c>
      <c r="D32" s="7" t="s">
        <v>310</v>
      </c>
      <c r="E32" s="7" t="s">
        <v>306</v>
      </c>
    </row>
    <row r="33" ht="14.5" spans="1:5">
      <c r="A33" s="33" t="s">
        <v>311</v>
      </c>
      <c r="B33" s="27">
        <f>SUM(E6:E9)</f>
        <v>0</v>
      </c>
      <c r="C33" s="27">
        <f>SUM(K6:K9)</f>
        <v>0</v>
      </c>
      <c r="D33" s="27">
        <f>B33-C33</f>
        <v>0</v>
      </c>
      <c r="E33" s="29" t="str">
        <f>IF(B33=0,"",D33/B33)</f>
        <v/>
      </c>
    </row>
    <row r="34" ht="14.5" spans="1:5">
      <c r="A34" s="33" t="s">
        <v>312</v>
      </c>
      <c r="B34" s="27">
        <f>SUM(E10:E21)</f>
        <v>0</v>
      </c>
      <c r="C34" s="27">
        <f>SUM(K10:K21)</f>
        <v>0</v>
      </c>
      <c r="D34" s="27">
        <f>B34-C34</f>
        <v>0</v>
      </c>
      <c r="E34" s="29" t="str">
        <f>IF(B34=0,"",D34/B34)</f>
        <v/>
      </c>
    </row>
    <row r="35" ht="14.5" spans="1:5">
      <c r="A35" s="33" t="s">
        <v>313</v>
      </c>
      <c r="B35" s="27">
        <f>SUM(E22:E29)</f>
        <v>0</v>
      </c>
      <c r="C35" s="27">
        <f>SUM(K22:K29)</f>
        <v>0</v>
      </c>
      <c r="D35" s="27">
        <f>B35-C35</f>
        <v>0</v>
      </c>
      <c r="E35" s="29" t="str">
        <f>IF(B35=0,"",D35/B35)</f>
        <v/>
      </c>
    </row>
    <row r="37" ht="20" customHeight="1" spans="1:5">
      <c r="A37" s="3" t="s">
        <v>314</v>
      </c>
    </row>
    <row r="38" ht="14.5" spans="1:5">
      <c r="A38" s="8" t="s">
        <v>315</v>
      </c>
      <c r="B38" s="24">
        <f>COUNTIF(K6:K29,"&gt;0")</f>
        <v>0</v>
      </c>
    </row>
    <row r="39" ht="14.5" spans="1:5">
      <c r="A39" s="8" t="s">
        <v>316</v>
      </c>
      <c r="B39" s="17">
        <f>IF(B38=0,0,SUM(K6:K29)/B38)</f>
        <v>0</v>
      </c>
    </row>
    <row r="40" ht="14.5" spans="1:5">
      <c r="A40" s="8" t="s">
        <v>317</v>
      </c>
      <c r="B40" s="17">
        <f>B39*12</f>
        <v>0</v>
      </c>
    </row>
    <row r="41" ht="14.5" spans="1:5">
      <c r="A41" s="8" t="s">
        <v>318</v>
      </c>
      <c r="B41" s="17">
        <f>IF(B38=0,0,SUM(E6:E29)/B38)</f>
        <v>0</v>
      </c>
    </row>
    <row r="42" ht="14.5" spans="1:5">
      <c r="A42" s="8" t="s">
        <v>319</v>
      </c>
      <c r="B42" s="17">
        <f>B41*12</f>
        <v>0</v>
      </c>
    </row>
    <row r="43" ht="14.5" spans="1:5">
      <c r="A43" s="8" t="s">
        <v>320</v>
      </c>
      <c r="B43" s="17">
        <f>B42-B40</f>
        <v>0</v>
      </c>
    </row>
    <row r="44" ht="14.5" spans="1:5">
      <c r="A44" s="8" t="s">
        <v>306</v>
      </c>
      <c r="B44" s="19" t="str">
        <f>IF(B42=0,"",B43/B42)</f>
        <v/>
      </c>
    </row>
  </sheetData>
  <mergeCells count="5">
    <mergeCell ref="A1:N1"/>
    <mergeCell ref="A2:N2"/>
    <mergeCell ref="A4:N4"/>
    <mergeCell ref="A31:N31"/>
    <mergeCell ref="A37:N3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D08E"/>
  </sheetPr>
  <dimension ref="A1:F303"/>
  <sheetViews>
    <sheetView workbookViewId="0">
      <pane ySplit="3" topLeftCell="A4" activePane="bottomLeft" state="frozen"/>
      <selection/>
      <selection pane="bottomLeft" activeCell="A1" sqref="A1:F1"/>
    </sheetView>
  </sheetViews>
  <sheetFormatPr defaultColWidth="9" defaultRowHeight="14" outlineLevelCol="5"/>
  <cols>
    <col min="1" max="1" width="14" customWidth="1"/>
    <col min="2" max="2" width="10" customWidth="1"/>
    <col min="3" max="3" width="14" customWidth="1"/>
    <col min="4" max="4" width="34" customWidth="1"/>
    <col min="5" max="5" width="16" customWidth="1"/>
    <col min="6" max="6" width="30" customWidth="1"/>
  </cols>
  <sheetData>
    <row r="1" ht="26" customHeight="1" spans="1:6">
      <c r="A1" s="1" t="s">
        <v>321</v>
      </c>
    </row>
    <row r="2" ht="16" customHeight="1" spans="1:6">
      <c r="A2" s="2" t="s">
        <v>322</v>
      </c>
    </row>
    <row r="3" ht="30" customHeight="1" spans="1:6">
      <c r="A3" s="7" t="s">
        <v>323</v>
      </c>
      <c r="B3" s="7" t="s">
        <v>324</v>
      </c>
      <c r="C3" s="7" t="s">
        <v>325</v>
      </c>
      <c r="D3" s="7" t="s">
        <v>326</v>
      </c>
      <c r="E3" s="7" t="s">
        <v>4</v>
      </c>
      <c r="F3" s="7" t="s">
        <v>61</v>
      </c>
    </row>
    <row r="4" ht="14.5" spans="1:6">
      <c r="A4" s="41"/>
      <c r="B4" s="42"/>
      <c r="C4" s="42"/>
      <c r="D4" s="43"/>
      <c r="E4" s="39"/>
      <c r="F4" s="43"/>
    </row>
    <row r="5" ht="14.5" spans="1:6">
      <c r="A5" s="41"/>
      <c r="B5" s="42"/>
      <c r="C5" s="42"/>
      <c r="D5" s="43"/>
      <c r="E5" s="39"/>
      <c r="F5" s="43"/>
    </row>
    <row r="6" ht="14.5" spans="1:6">
      <c r="A6" s="41"/>
      <c r="B6" s="42"/>
      <c r="C6" s="42"/>
      <c r="D6" s="43"/>
      <c r="E6" s="39"/>
      <c r="F6" s="43"/>
    </row>
    <row r="7" ht="14.5" spans="1:6">
      <c r="A7" s="41"/>
      <c r="B7" s="42"/>
      <c r="C7" s="42"/>
      <c r="D7" s="43"/>
      <c r="E7" s="39"/>
      <c r="F7" s="43"/>
    </row>
    <row r="8" ht="14.5" spans="1:6">
      <c r="A8" s="41"/>
      <c r="B8" s="42"/>
      <c r="C8" s="42"/>
      <c r="D8" s="43"/>
      <c r="E8" s="39"/>
      <c r="F8" s="43"/>
    </row>
    <row r="9" ht="14.5" spans="1:6">
      <c r="A9" s="41"/>
      <c r="B9" s="42"/>
      <c r="C9" s="42"/>
      <c r="D9" s="43"/>
      <c r="E9" s="39"/>
      <c r="F9" s="43"/>
    </row>
    <row r="10" ht="14.5" spans="1:6">
      <c r="A10" s="41"/>
      <c r="B10" s="42"/>
      <c r="C10" s="42"/>
      <c r="D10" s="43"/>
      <c r="E10" s="39"/>
      <c r="F10" s="43"/>
    </row>
    <row r="11" ht="14.5" spans="1:6">
      <c r="A11" s="41"/>
      <c r="B11" s="42"/>
      <c r="C11" s="42"/>
      <c r="D11" s="43"/>
      <c r="E11" s="39"/>
      <c r="F11" s="43"/>
    </row>
    <row r="12" ht="14.5" spans="1:6">
      <c r="A12" s="41"/>
      <c r="B12" s="42"/>
      <c r="C12" s="42"/>
      <c r="D12" s="43"/>
      <c r="E12" s="39"/>
      <c r="F12" s="43"/>
    </row>
    <row r="13" ht="14.5" spans="1:6">
      <c r="A13" s="41"/>
      <c r="B13" s="42"/>
      <c r="C13" s="42"/>
      <c r="D13" s="43"/>
      <c r="E13" s="39"/>
      <c r="F13" s="43"/>
    </row>
    <row r="14" ht="14.5" spans="1:6">
      <c r="A14" s="41"/>
      <c r="B14" s="42"/>
      <c r="C14" s="42"/>
      <c r="D14" s="43"/>
      <c r="E14" s="39"/>
      <c r="F14" s="43"/>
    </row>
    <row r="15" ht="14.5" spans="1:6">
      <c r="A15" s="41"/>
      <c r="B15" s="42"/>
      <c r="C15" s="42"/>
      <c r="D15" s="43"/>
      <c r="E15" s="39"/>
      <c r="F15" s="43"/>
    </row>
    <row r="16" ht="14.5" spans="1:6">
      <c r="A16" s="41"/>
      <c r="B16" s="42"/>
      <c r="C16" s="42"/>
      <c r="D16" s="43"/>
      <c r="E16" s="39"/>
      <c r="F16" s="43"/>
    </row>
    <row r="17" ht="14.5" spans="1:6">
      <c r="A17" s="41"/>
      <c r="B17" s="42"/>
      <c r="C17" s="42"/>
      <c r="D17" s="43"/>
      <c r="E17" s="39"/>
      <c r="F17" s="43"/>
    </row>
    <row r="18" ht="14.5" spans="1:6">
      <c r="A18" s="41"/>
      <c r="B18" s="42"/>
      <c r="C18" s="42"/>
      <c r="D18" s="43"/>
      <c r="E18" s="39"/>
      <c r="F18" s="43"/>
    </row>
    <row r="19" ht="14.5" spans="1:6">
      <c r="A19" s="41"/>
      <c r="B19" s="42"/>
      <c r="C19" s="42"/>
      <c r="D19" s="43"/>
      <c r="E19" s="39"/>
      <c r="F19" s="43"/>
    </row>
    <row r="20" ht="14.5" spans="1:6">
      <c r="A20" s="41"/>
      <c r="B20" s="42"/>
      <c r="C20" s="42"/>
      <c r="D20" s="43"/>
      <c r="E20" s="39"/>
      <c r="F20" s="43"/>
    </row>
    <row r="21" ht="14.5" spans="1:6">
      <c r="A21" s="41"/>
      <c r="B21" s="42"/>
      <c r="C21" s="42"/>
      <c r="D21" s="43"/>
      <c r="E21" s="39"/>
      <c r="F21" s="43"/>
    </row>
    <row r="22" ht="14.5" spans="1:6">
      <c r="A22" s="41"/>
      <c r="B22" s="42"/>
      <c r="C22" s="42"/>
      <c r="D22" s="43"/>
      <c r="E22" s="39"/>
      <c r="F22" s="43"/>
    </row>
    <row r="23" ht="14.5" spans="1:6">
      <c r="A23" s="41"/>
      <c r="B23" s="42"/>
      <c r="C23" s="42"/>
      <c r="D23" s="43"/>
      <c r="E23" s="39"/>
      <c r="F23" s="43"/>
    </row>
    <row r="24" ht="14.5" spans="1:6">
      <c r="A24" s="41"/>
      <c r="B24" s="42"/>
      <c r="C24" s="42"/>
      <c r="D24" s="43"/>
      <c r="E24" s="39"/>
      <c r="F24" s="43"/>
    </row>
    <row r="25" ht="14.5" spans="1:6">
      <c r="A25" s="41"/>
      <c r="B25" s="42"/>
      <c r="C25" s="42"/>
      <c r="D25" s="43"/>
      <c r="E25" s="39"/>
      <c r="F25" s="43"/>
    </row>
    <row r="26" ht="14.5" spans="1:6">
      <c r="A26" s="41"/>
      <c r="B26" s="42"/>
      <c r="C26" s="42"/>
      <c r="D26" s="43"/>
      <c r="E26" s="39"/>
      <c r="F26" s="43"/>
    </row>
    <row r="27" ht="14.5" spans="1:6">
      <c r="A27" s="41"/>
      <c r="B27" s="42"/>
      <c r="C27" s="42"/>
      <c r="D27" s="43"/>
      <c r="E27" s="39"/>
      <c r="F27" s="43"/>
    </row>
    <row r="28" ht="14.5" spans="1:6">
      <c r="A28" s="41"/>
      <c r="B28" s="42"/>
      <c r="C28" s="42"/>
      <c r="D28" s="43"/>
      <c r="E28" s="39"/>
      <c r="F28" s="43"/>
    </row>
    <row r="29" ht="14.5" spans="1:6">
      <c r="A29" s="41"/>
      <c r="B29" s="42"/>
      <c r="C29" s="42"/>
      <c r="D29" s="43"/>
      <c r="E29" s="39"/>
      <c r="F29" s="43"/>
    </row>
    <row r="30" ht="14.5" spans="1:6">
      <c r="A30" s="41"/>
      <c r="B30" s="42"/>
      <c r="C30" s="42"/>
      <c r="D30" s="43"/>
      <c r="E30" s="39"/>
      <c r="F30" s="43"/>
    </row>
    <row r="31" ht="14.5" spans="1:6">
      <c r="A31" s="41"/>
      <c r="B31" s="42"/>
      <c r="C31" s="42"/>
      <c r="D31" s="43"/>
      <c r="E31" s="39"/>
      <c r="F31" s="43"/>
    </row>
    <row r="32" ht="14.5" spans="1:6">
      <c r="A32" s="41"/>
      <c r="B32" s="42"/>
      <c r="C32" s="42"/>
      <c r="D32" s="43"/>
      <c r="E32" s="39"/>
      <c r="F32" s="43"/>
    </row>
    <row r="33" ht="14.5" spans="1:6">
      <c r="A33" s="41"/>
      <c r="B33" s="42"/>
      <c r="C33" s="42"/>
      <c r="D33" s="43"/>
      <c r="E33" s="39"/>
      <c r="F33" s="43"/>
    </row>
    <row r="34" ht="14.5" spans="1:6">
      <c r="A34" s="41"/>
      <c r="B34" s="42"/>
      <c r="C34" s="42"/>
      <c r="D34" s="43"/>
      <c r="E34" s="39"/>
      <c r="F34" s="43"/>
    </row>
    <row r="35" ht="14.5" spans="1:6">
      <c r="A35" s="41"/>
      <c r="B35" s="42"/>
      <c r="C35" s="42"/>
      <c r="D35" s="43"/>
      <c r="E35" s="39"/>
      <c r="F35" s="43"/>
    </row>
    <row r="36" ht="14.5" spans="1:6">
      <c r="A36" s="41"/>
      <c r="B36" s="42"/>
      <c r="C36" s="42"/>
      <c r="D36" s="43"/>
      <c r="E36" s="39"/>
      <c r="F36" s="43"/>
    </row>
    <row r="37" ht="14.5" spans="1:6">
      <c r="A37" s="41"/>
      <c r="B37" s="42"/>
      <c r="C37" s="42"/>
      <c r="D37" s="43"/>
      <c r="E37" s="39"/>
      <c r="F37" s="43"/>
    </row>
    <row r="38" ht="14.5" spans="1:6">
      <c r="A38" s="41"/>
      <c r="B38" s="42"/>
      <c r="C38" s="42"/>
      <c r="D38" s="43"/>
      <c r="E38" s="39"/>
      <c r="F38" s="43"/>
    </row>
    <row r="39" ht="14.5" spans="1:6">
      <c r="A39" s="41"/>
      <c r="B39" s="42"/>
      <c r="C39" s="42"/>
      <c r="D39" s="43"/>
      <c r="E39" s="39"/>
      <c r="F39" s="43"/>
    </row>
    <row r="40" ht="14.5" spans="1:6">
      <c r="A40" s="41"/>
      <c r="B40" s="42"/>
      <c r="C40" s="42"/>
      <c r="D40" s="43"/>
      <c r="E40" s="39"/>
      <c r="F40" s="43"/>
    </row>
    <row r="41" ht="14.5" spans="1:6">
      <c r="A41" s="41"/>
      <c r="B41" s="42"/>
      <c r="C41" s="42"/>
      <c r="D41" s="43"/>
      <c r="E41" s="39"/>
      <c r="F41" s="43"/>
    </row>
    <row r="42" ht="14.5" spans="1:6">
      <c r="A42" s="41"/>
      <c r="B42" s="42"/>
      <c r="C42" s="42"/>
      <c r="D42" s="43"/>
      <c r="E42" s="39"/>
      <c r="F42" s="43"/>
    </row>
    <row r="43" ht="14.5" spans="1:6">
      <c r="A43" s="41"/>
      <c r="B43" s="42"/>
      <c r="C43" s="42"/>
      <c r="D43" s="43"/>
      <c r="E43" s="39"/>
      <c r="F43" s="43"/>
    </row>
    <row r="44" ht="14.5" spans="1:6">
      <c r="A44" s="41"/>
      <c r="B44" s="42"/>
      <c r="C44" s="42"/>
      <c r="D44" s="43"/>
      <c r="E44" s="39"/>
      <c r="F44" s="43"/>
    </row>
    <row r="45" ht="14.5" spans="1:6">
      <c r="A45" s="41"/>
      <c r="B45" s="42"/>
      <c r="C45" s="42"/>
      <c r="D45" s="43"/>
      <c r="E45" s="39"/>
      <c r="F45" s="43"/>
    </row>
    <row r="46" ht="14.5" spans="1:6">
      <c r="A46" s="41"/>
      <c r="B46" s="42"/>
      <c r="C46" s="42"/>
      <c r="D46" s="43"/>
      <c r="E46" s="39"/>
      <c r="F46" s="43"/>
    </row>
    <row r="47" ht="14.5" spans="1:6">
      <c r="A47" s="41"/>
      <c r="B47" s="42"/>
      <c r="C47" s="42"/>
      <c r="D47" s="43"/>
      <c r="E47" s="39"/>
      <c r="F47" s="43"/>
    </row>
    <row r="48" ht="14.5" spans="1:6">
      <c r="A48" s="41"/>
      <c r="B48" s="42"/>
      <c r="C48" s="42"/>
      <c r="D48" s="43"/>
      <c r="E48" s="39"/>
      <c r="F48" s="43"/>
    </row>
    <row r="49" ht="14.5" spans="1:6">
      <c r="A49" s="41"/>
      <c r="B49" s="42"/>
      <c r="C49" s="42"/>
      <c r="D49" s="43"/>
      <c r="E49" s="39"/>
      <c r="F49" s="43"/>
    </row>
    <row r="50" ht="14.5" spans="1:6">
      <c r="A50" s="41"/>
      <c r="B50" s="42"/>
      <c r="C50" s="42"/>
      <c r="D50" s="43"/>
      <c r="E50" s="39"/>
      <c r="F50" s="43"/>
    </row>
    <row r="51" ht="14.5" spans="1:6">
      <c r="A51" s="41"/>
      <c r="B51" s="42"/>
      <c r="C51" s="42"/>
      <c r="D51" s="43"/>
      <c r="E51" s="39"/>
      <c r="F51" s="43"/>
    </row>
    <row r="52" ht="14.5" spans="1:6">
      <c r="A52" s="41"/>
      <c r="B52" s="42"/>
      <c r="C52" s="42"/>
      <c r="D52" s="43"/>
      <c r="E52" s="39"/>
      <c r="F52" s="43"/>
    </row>
    <row r="53" ht="14.5" spans="1:6">
      <c r="A53" s="41"/>
      <c r="B53" s="42"/>
      <c r="C53" s="42"/>
      <c r="D53" s="43"/>
      <c r="E53" s="39"/>
      <c r="F53" s="43"/>
    </row>
    <row r="54" ht="14.5" spans="1:6">
      <c r="A54" s="41"/>
      <c r="B54" s="42"/>
      <c r="C54" s="42"/>
      <c r="D54" s="43"/>
      <c r="E54" s="39"/>
      <c r="F54" s="43"/>
    </row>
    <row r="55" ht="14.5" spans="1:6">
      <c r="A55" s="41"/>
      <c r="B55" s="42"/>
      <c r="C55" s="42"/>
      <c r="D55" s="43"/>
      <c r="E55" s="39"/>
      <c r="F55" s="43"/>
    </row>
    <row r="56" ht="14.5" spans="1:6">
      <c r="A56" s="41"/>
      <c r="B56" s="42"/>
      <c r="C56" s="42"/>
      <c r="D56" s="43"/>
      <c r="E56" s="39"/>
      <c r="F56" s="43"/>
    </row>
    <row r="57" ht="14.5" spans="1:6">
      <c r="A57" s="41"/>
      <c r="B57" s="42"/>
      <c r="C57" s="42"/>
      <c r="D57" s="43"/>
      <c r="E57" s="39"/>
      <c r="F57" s="43"/>
    </row>
    <row r="58" ht="14.5" spans="1:6">
      <c r="A58" s="41"/>
      <c r="B58" s="42"/>
      <c r="C58" s="42"/>
      <c r="D58" s="43"/>
      <c r="E58" s="39"/>
      <c r="F58" s="43"/>
    </row>
    <row r="59" ht="14.5" spans="1:6">
      <c r="A59" s="41"/>
      <c r="B59" s="42"/>
      <c r="C59" s="42"/>
      <c r="D59" s="43"/>
      <c r="E59" s="39"/>
      <c r="F59" s="43"/>
    </row>
    <row r="60" ht="14.5" spans="1:6">
      <c r="A60" s="41"/>
      <c r="B60" s="42"/>
      <c r="C60" s="42"/>
      <c r="D60" s="43"/>
      <c r="E60" s="39"/>
      <c r="F60" s="43"/>
    </row>
    <row r="61" ht="14.5" spans="1:6">
      <c r="A61" s="41"/>
      <c r="B61" s="42"/>
      <c r="C61" s="42"/>
      <c r="D61" s="43"/>
      <c r="E61" s="39"/>
      <c r="F61" s="43"/>
    </row>
    <row r="62" ht="14.5" spans="1:6">
      <c r="A62" s="41"/>
      <c r="B62" s="42"/>
      <c r="C62" s="42"/>
      <c r="D62" s="43"/>
      <c r="E62" s="39"/>
      <c r="F62" s="43"/>
    </row>
    <row r="63" ht="14.5" spans="1:6">
      <c r="A63" s="41"/>
      <c r="B63" s="42"/>
      <c r="C63" s="42"/>
      <c r="D63" s="43"/>
      <c r="E63" s="39"/>
      <c r="F63" s="43"/>
    </row>
    <row r="64" ht="14.5" spans="1:6">
      <c r="A64" s="41"/>
      <c r="B64" s="42"/>
      <c r="C64" s="42"/>
      <c r="D64" s="43"/>
      <c r="E64" s="39"/>
      <c r="F64" s="43"/>
    </row>
    <row r="65" ht="14.5" spans="1:6">
      <c r="A65" s="41"/>
      <c r="B65" s="42"/>
      <c r="C65" s="42"/>
      <c r="D65" s="43"/>
      <c r="E65" s="39"/>
      <c r="F65" s="43"/>
    </row>
    <row r="66" ht="14.5" spans="1:6">
      <c r="A66" s="41"/>
      <c r="B66" s="42"/>
      <c r="C66" s="42"/>
      <c r="D66" s="43"/>
      <c r="E66" s="39"/>
      <c r="F66" s="43"/>
    </row>
    <row r="67" ht="14.5" spans="1:6">
      <c r="A67" s="41"/>
      <c r="B67" s="42"/>
      <c r="C67" s="42"/>
      <c r="D67" s="43"/>
      <c r="E67" s="39"/>
      <c r="F67" s="43"/>
    </row>
    <row r="68" ht="14.5" spans="1:6">
      <c r="A68" s="41"/>
      <c r="B68" s="42"/>
      <c r="C68" s="42"/>
      <c r="D68" s="43"/>
      <c r="E68" s="39"/>
      <c r="F68" s="43"/>
    </row>
    <row r="69" ht="14.5" spans="1:6">
      <c r="A69" s="41"/>
      <c r="B69" s="42"/>
      <c r="C69" s="42"/>
      <c r="D69" s="43"/>
      <c r="E69" s="39"/>
      <c r="F69" s="43"/>
    </row>
    <row r="70" ht="14.5" spans="1:6">
      <c r="A70" s="41"/>
      <c r="B70" s="42"/>
      <c r="C70" s="42"/>
      <c r="D70" s="43"/>
      <c r="E70" s="39"/>
      <c r="F70" s="43"/>
    </row>
    <row r="71" ht="14.5" spans="1:6">
      <c r="A71" s="41"/>
      <c r="B71" s="42"/>
      <c r="C71" s="42"/>
      <c r="D71" s="43"/>
      <c r="E71" s="39"/>
      <c r="F71" s="43"/>
    </row>
    <row r="72" ht="14.5" spans="1:6">
      <c r="A72" s="41"/>
      <c r="B72" s="42"/>
      <c r="C72" s="42"/>
      <c r="D72" s="43"/>
      <c r="E72" s="39"/>
      <c r="F72" s="43"/>
    </row>
    <row r="73" ht="14.5" spans="1:6">
      <c r="A73" s="41"/>
      <c r="B73" s="42"/>
      <c r="C73" s="42"/>
      <c r="D73" s="43"/>
      <c r="E73" s="39"/>
      <c r="F73" s="43"/>
    </row>
    <row r="74" ht="14.5" spans="1:6">
      <c r="A74" s="41"/>
      <c r="B74" s="42"/>
      <c r="C74" s="42"/>
      <c r="D74" s="43"/>
      <c r="E74" s="39"/>
      <c r="F74" s="43"/>
    </row>
    <row r="75" ht="14.5" spans="1:6">
      <c r="A75" s="41"/>
      <c r="B75" s="42"/>
      <c r="C75" s="42"/>
      <c r="D75" s="43"/>
      <c r="E75" s="39"/>
      <c r="F75" s="43"/>
    </row>
    <row r="76" ht="14.5" spans="1:6">
      <c r="A76" s="41"/>
      <c r="B76" s="42"/>
      <c r="C76" s="42"/>
      <c r="D76" s="43"/>
      <c r="E76" s="39"/>
      <c r="F76" s="43"/>
    </row>
    <row r="77" ht="14.5" spans="1:6">
      <c r="A77" s="41"/>
      <c r="B77" s="42"/>
      <c r="C77" s="42"/>
      <c r="D77" s="43"/>
      <c r="E77" s="39"/>
      <c r="F77" s="43"/>
    </row>
    <row r="78" ht="14.5" spans="1:6">
      <c r="A78" s="41"/>
      <c r="B78" s="42"/>
      <c r="C78" s="42"/>
      <c r="D78" s="43"/>
      <c r="E78" s="39"/>
      <c r="F78" s="43"/>
    </row>
    <row r="79" ht="14.5" spans="1:6">
      <c r="A79" s="41"/>
      <c r="B79" s="42"/>
      <c r="C79" s="42"/>
      <c r="D79" s="43"/>
      <c r="E79" s="39"/>
      <c r="F79" s="43"/>
    </row>
    <row r="80" ht="14.5" spans="1:6">
      <c r="A80" s="41"/>
      <c r="B80" s="42"/>
      <c r="C80" s="42"/>
      <c r="D80" s="43"/>
      <c r="E80" s="39"/>
      <c r="F80" s="43"/>
    </row>
    <row r="81" ht="14.5" spans="1:6">
      <c r="A81" s="41"/>
      <c r="B81" s="42"/>
      <c r="C81" s="42"/>
      <c r="D81" s="43"/>
      <c r="E81" s="39"/>
      <c r="F81" s="43"/>
    </row>
    <row r="82" ht="14.5" spans="1:6">
      <c r="A82" s="41"/>
      <c r="B82" s="42"/>
      <c r="C82" s="42"/>
      <c r="D82" s="43"/>
      <c r="E82" s="39"/>
      <c r="F82" s="43"/>
    </row>
    <row r="83" ht="14.5" spans="1:6">
      <c r="A83" s="41"/>
      <c r="B83" s="42"/>
      <c r="C83" s="42"/>
      <c r="D83" s="43"/>
      <c r="E83" s="39"/>
      <c r="F83" s="43"/>
    </row>
    <row r="84" ht="14.5" spans="1:6">
      <c r="A84" s="41"/>
      <c r="B84" s="42"/>
      <c r="C84" s="42"/>
      <c r="D84" s="43"/>
      <c r="E84" s="39"/>
      <c r="F84" s="43"/>
    </row>
    <row r="85" ht="14.5" spans="1:6">
      <c r="A85" s="41"/>
      <c r="B85" s="42"/>
      <c r="C85" s="42"/>
      <c r="D85" s="43"/>
      <c r="E85" s="39"/>
      <c r="F85" s="43"/>
    </row>
    <row r="86" ht="14.5" spans="1:6">
      <c r="A86" s="41"/>
      <c r="B86" s="42"/>
      <c r="C86" s="42"/>
      <c r="D86" s="43"/>
      <c r="E86" s="39"/>
      <c r="F86" s="43"/>
    </row>
    <row r="87" ht="14.5" spans="1:6">
      <c r="A87" s="41"/>
      <c r="B87" s="42"/>
      <c r="C87" s="42"/>
      <c r="D87" s="43"/>
      <c r="E87" s="39"/>
      <c r="F87" s="43"/>
    </row>
    <row r="88" ht="14.5" spans="1:6">
      <c r="A88" s="41"/>
      <c r="B88" s="42"/>
      <c r="C88" s="42"/>
      <c r="D88" s="43"/>
      <c r="E88" s="39"/>
      <c r="F88" s="43"/>
    </row>
    <row r="89" ht="14.5" spans="1:6">
      <c r="A89" s="41"/>
      <c r="B89" s="42"/>
      <c r="C89" s="42"/>
      <c r="D89" s="43"/>
      <c r="E89" s="39"/>
      <c r="F89" s="43"/>
    </row>
    <row r="90" ht="14.5" spans="1:6">
      <c r="A90" s="41"/>
      <c r="B90" s="42"/>
      <c r="C90" s="42"/>
      <c r="D90" s="43"/>
      <c r="E90" s="39"/>
      <c r="F90" s="43"/>
    </row>
    <row r="91" ht="14.5" spans="1:6">
      <c r="A91" s="41"/>
      <c r="B91" s="42"/>
      <c r="C91" s="42"/>
      <c r="D91" s="43"/>
      <c r="E91" s="39"/>
      <c r="F91" s="43"/>
    </row>
    <row r="92" ht="14.5" spans="1:6">
      <c r="A92" s="41"/>
      <c r="B92" s="42"/>
      <c r="C92" s="42"/>
      <c r="D92" s="43"/>
      <c r="E92" s="39"/>
      <c r="F92" s="43"/>
    </row>
    <row r="93" ht="14.5" spans="1:6">
      <c r="A93" s="41"/>
      <c r="B93" s="42"/>
      <c r="C93" s="42"/>
      <c r="D93" s="43"/>
      <c r="E93" s="39"/>
      <c r="F93" s="43"/>
    </row>
    <row r="94" ht="14.5" spans="1:6">
      <c r="A94" s="41"/>
      <c r="B94" s="42"/>
      <c r="C94" s="42"/>
      <c r="D94" s="43"/>
      <c r="E94" s="39"/>
      <c r="F94" s="43"/>
    </row>
    <row r="95" ht="14.5" spans="1:6">
      <c r="A95" s="41"/>
      <c r="B95" s="42"/>
      <c r="C95" s="42"/>
      <c r="D95" s="43"/>
      <c r="E95" s="39"/>
      <c r="F95" s="43"/>
    </row>
    <row r="96" ht="14.5" spans="1:6">
      <c r="A96" s="41"/>
      <c r="B96" s="42"/>
      <c r="C96" s="42"/>
      <c r="D96" s="43"/>
      <c r="E96" s="39"/>
      <c r="F96" s="43"/>
    </row>
    <row r="97" ht="14.5" spans="1:6">
      <c r="A97" s="41"/>
      <c r="B97" s="42"/>
      <c r="C97" s="42"/>
      <c r="D97" s="43"/>
      <c r="E97" s="39"/>
      <c r="F97" s="43"/>
    </row>
    <row r="98" ht="14.5" spans="1:6">
      <c r="A98" s="41"/>
      <c r="B98" s="42"/>
      <c r="C98" s="42"/>
      <c r="D98" s="43"/>
      <c r="E98" s="39"/>
      <c r="F98" s="43"/>
    </row>
    <row r="99" ht="14.5" spans="1:6">
      <c r="A99" s="41"/>
      <c r="B99" s="42"/>
      <c r="C99" s="42"/>
      <c r="D99" s="43"/>
      <c r="E99" s="39"/>
      <c r="F99" s="43"/>
    </row>
    <row r="100" ht="14.5" spans="1:6">
      <c r="A100" s="41"/>
      <c r="B100" s="42"/>
      <c r="C100" s="42"/>
      <c r="D100" s="43"/>
      <c r="E100" s="39"/>
      <c r="F100" s="43"/>
    </row>
    <row r="101" ht="14.5" spans="1:6">
      <c r="A101" s="41"/>
      <c r="B101" s="42"/>
      <c r="C101" s="42"/>
      <c r="D101" s="43"/>
      <c r="E101" s="39"/>
      <c r="F101" s="43"/>
    </row>
    <row r="102" ht="14.5" spans="1:6">
      <c r="A102" s="41"/>
      <c r="B102" s="42"/>
      <c r="C102" s="42"/>
      <c r="D102" s="43"/>
      <c r="E102" s="39"/>
      <c r="F102" s="43"/>
    </row>
    <row r="103" ht="14.5" spans="1:6">
      <c r="A103" s="41"/>
      <c r="B103" s="42"/>
      <c r="C103" s="42"/>
      <c r="D103" s="43"/>
      <c r="E103" s="39"/>
      <c r="F103" s="43"/>
    </row>
    <row r="104" ht="14.5" spans="1:6">
      <c r="A104" s="41"/>
      <c r="B104" s="42"/>
      <c r="C104" s="42"/>
      <c r="D104" s="43"/>
      <c r="E104" s="39"/>
      <c r="F104" s="43"/>
    </row>
    <row r="105" ht="14.5" spans="1:6">
      <c r="A105" s="41"/>
      <c r="B105" s="42"/>
      <c r="C105" s="42"/>
      <c r="D105" s="43"/>
      <c r="E105" s="39"/>
      <c r="F105" s="43"/>
    </row>
    <row r="106" ht="14.5" spans="1:6">
      <c r="A106" s="41"/>
      <c r="B106" s="42"/>
      <c r="C106" s="42"/>
      <c r="D106" s="43"/>
      <c r="E106" s="39"/>
      <c r="F106" s="43"/>
    </row>
    <row r="107" ht="14.5" spans="1:6">
      <c r="A107" s="41"/>
      <c r="B107" s="42"/>
      <c r="C107" s="42"/>
      <c r="D107" s="43"/>
      <c r="E107" s="39"/>
      <c r="F107" s="43"/>
    </row>
    <row r="108" ht="14.5" spans="1:6">
      <c r="A108" s="41"/>
      <c r="B108" s="42"/>
      <c r="C108" s="42"/>
      <c r="D108" s="43"/>
      <c r="E108" s="39"/>
      <c r="F108" s="43"/>
    </row>
    <row r="109" ht="14.5" spans="1:6">
      <c r="A109" s="41"/>
      <c r="B109" s="42"/>
      <c r="C109" s="42"/>
      <c r="D109" s="43"/>
      <c r="E109" s="39"/>
      <c r="F109" s="43"/>
    </row>
    <row r="110" ht="14.5" spans="1:6">
      <c r="A110" s="41"/>
      <c r="B110" s="42"/>
      <c r="C110" s="42"/>
      <c r="D110" s="43"/>
      <c r="E110" s="39"/>
      <c r="F110" s="43"/>
    </row>
    <row r="111" ht="14.5" spans="1:6">
      <c r="A111" s="41"/>
      <c r="B111" s="42"/>
      <c r="C111" s="42"/>
      <c r="D111" s="43"/>
      <c r="E111" s="39"/>
      <c r="F111" s="43"/>
    </row>
    <row r="112" ht="14.5" spans="1:6">
      <c r="A112" s="41"/>
      <c r="B112" s="42"/>
      <c r="C112" s="42"/>
      <c r="D112" s="43"/>
      <c r="E112" s="39"/>
      <c r="F112" s="43"/>
    </row>
    <row r="113" ht="14.5" spans="1:6">
      <c r="A113" s="41"/>
      <c r="B113" s="42"/>
      <c r="C113" s="42"/>
      <c r="D113" s="43"/>
      <c r="E113" s="39"/>
      <c r="F113" s="43"/>
    </row>
    <row r="114" ht="14.5" spans="1:6">
      <c r="A114" s="41"/>
      <c r="B114" s="42"/>
      <c r="C114" s="42"/>
      <c r="D114" s="43"/>
      <c r="E114" s="39"/>
      <c r="F114" s="43"/>
    </row>
    <row r="115" ht="14.5" spans="1:6">
      <c r="A115" s="41"/>
      <c r="B115" s="42"/>
      <c r="C115" s="42"/>
      <c r="D115" s="43"/>
      <c r="E115" s="39"/>
      <c r="F115" s="43"/>
    </row>
    <row r="116" ht="14.5" spans="1:6">
      <c r="A116" s="41"/>
      <c r="B116" s="42"/>
      <c r="C116" s="42"/>
      <c r="D116" s="43"/>
      <c r="E116" s="39"/>
      <c r="F116" s="43"/>
    </row>
    <row r="117" ht="14.5" spans="1:6">
      <c r="A117" s="41"/>
      <c r="B117" s="42"/>
      <c r="C117" s="42"/>
      <c r="D117" s="43"/>
      <c r="E117" s="39"/>
      <c r="F117" s="43"/>
    </row>
    <row r="118" ht="14.5" spans="1:6">
      <c r="A118" s="41"/>
      <c r="B118" s="42"/>
      <c r="C118" s="42"/>
      <c r="D118" s="43"/>
      <c r="E118" s="39"/>
      <c r="F118" s="43"/>
    </row>
    <row r="119" ht="14.5" spans="1:6">
      <c r="A119" s="41"/>
      <c r="B119" s="42"/>
      <c r="C119" s="42"/>
      <c r="D119" s="43"/>
      <c r="E119" s="39"/>
      <c r="F119" s="43"/>
    </row>
    <row r="120" ht="14.5" spans="1:6">
      <c r="A120" s="41"/>
      <c r="B120" s="42"/>
      <c r="C120" s="42"/>
      <c r="D120" s="43"/>
      <c r="E120" s="39"/>
      <c r="F120" s="43"/>
    </row>
    <row r="121" ht="14.5" spans="1:6">
      <c r="A121" s="41"/>
      <c r="B121" s="42"/>
      <c r="C121" s="42"/>
      <c r="D121" s="43"/>
      <c r="E121" s="39"/>
      <c r="F121" s="43"/>
    </row>
    <row r="122" ht="14.5" spans="1:6">
      <c r="A122" s="41"/>
      <c r="B122" s="42"/>
      <c r="C122" s="42"/>
      <c r="D122" s="43"/>
      <c r="E122" s="39"/>
      <c r="F122" s="43"/>
    </row>
    <row r="123" ht="14.5" spans="1:6">
      <c r="A123" s="41"/>
      <c r="B123" s="42"/>
      <c r="C123" s="42"/>
      <c r="D123" s="43"/>
      <c r="E123" s="39"/>
      <c r="F123" s="43"/>
    </row>
    <row r="124" ht="14.5" spans="1:6">
      <c r="A124" s="41"/>
      <c r="B124" s="42"/>
      <c r="C124" s="42"/>
      <c r="D124" s="43"/>
      <c r="E124" s="39"/>
      <c r="F124" s="43"/>
    </row>
    <row r="125" ht="14.5" spans="1:6">
      <c r="A125" s="41"/>
      <c r="B125" s="42"/>
      <c r="C125" s="42"/>
      <c r="D125" s="43"/>
      <c r="E125" s="39"/>
      <c r="F125" s="43"/>
    </row>
    <row r="126" ht="14.5" spans="1:6">
      <c r="A126" s="41"/>
      <c r="B126" s="42"/>
      <c r="C126" s="42"/>
      <c r="D126" s="43"/>
      <c r="E126" s="39"/>
      <c r="F126" s="43"/>
    </row>
    <row r="127" ht="14.5" spans="1:6">
      <c r="A127" s="41"/>
      <c r="B127" s="42"/>
      <c r="C127" s="42"/>
      <c r="D127" s="43"/>
      <c r="E127" s="39"/>
      <c r="F127" s="43"/>
    </row>
    <row r="128" ht="14.5" spans="1:6">
      <c r="A128" s="41"/>
      <c r="B128" s="42"/>
      <c r="C128" s="42"/>
      <c r="D128" s="43"/>
      <c r="E128" s="39"/>
      <c r="F128" s="43"/>
    </row>
    <row r="129" ht="14.5" spans="1:6">
      <c r="A129" s="41"/>
      <c r="B129" s="42"/>
      <c r="C129" s="42"/>
      <c r="D129" s="43"/>
      <c r="E129" s="39"/>
      <c r="F129" s="43"/>
    </row>
    <row r="130" ht="14.5" spans="1:6">
      <c r="A130" s="41"/>
      <c r="B130" s="42"/>
      <c r="C130" s="42"/>
      <c r="D130" s="43"/>
      <c r="E130" s="39"/>
      <c r="F130" s="43"/>
    </row>
    <row r="131" ht="14.5" spans="1:6">
      <c r="A131" s="41"/>
      <c r="B131" s="42"/>
      <c r="C131" s="42"/>
      <c r="D131" s="43"/>
      <c r="E131" s="39"/>
      <c r="F131" s="43"/>
    </row>
    <row r="132" ht="14.5" spans="1:6">
      <c r="A132" s="41"/>
      <c r="B132" s="42"/>
      <c r="C132" s="42"/>
      <c r="D132" s="43"/>
      <c r="E132" s="39"/>
      <c r="F132" s="43"/>
    </row>
    <row r="133" ht="14.5" spans="1:6">
      <c r="A133" s="41"/>
      <c r="B133" s="42"/>
      <c r="C133" s="42"/>
      <c r="D133" s="43"/>
      <c r="E133" s="39"/>
      <c r="F133" s="43"/>
    </row>
    <row r="134" ht="14.5" spans="1:6">
      <c r="A134" s="41"/>
      <c r="B134" s="42"/>
      <c r="C134" s="42"/>
      <c r="D134" s="43"/>
      <c r="E134" s="39"/>
      <c r="F134" s="43"/>
    </row>
    <row r="135" ht="14.5" spans="1:6">
      <c r="A135" s="41"/>
      <c r="B135" s="42"/>
      <c r="C135" s="42"/>
      <c r="D135" s="43"/>
      <c r="E135" s="39"/>
      <c r="F135" s="43"/>
    </row>
    <row r="136" ht="14.5" spans="1:6">
      <c r="A136" s="41"/>
      <c r="B136" s="42"/>
      <c r="C136" s="42"/>
      <c r="D136" s="43"/>
      <c r="E136" s="39"/>
      <c r="F136" s="43"/>
    </row>
    <row r="137" ht="14.5" spans="1:6">
      <c r="A137" s="41"/>
      <c r="B137" s="42"/>
      <c r="C137" s="42"/>
      <c r="D137" s="43"/>
      <c r="E137" s="39"/>
      <c r="F137" s="43"/>
    </row>
    <row r="138" ht="14.5" spans="1:6">
      <c r="A138" s="41"/>
      <c r="B138" s="42"/>
      <c r="C138" s="42"/>
      <c r="D138" s="43"/>
      <c r="E138" s="39"/>
      <c r="F138" s="43"/>
    </row>
    <row r="139" ht="14.5" spans="1:6">
      <c r="A139" s="41"/>
      <c r="B139" s="42"/>
      <c r="C139" s="42"/>
      <c r="D139" s="43"/>
      <c r="E139" s="39"/>
      <c r="F139" s="43"/>
    </row>
    <row r="140" ht="14.5" spans="1:6">
      <c r="A140" s="41"/>
      <c r="B140" s="42"/>
      <c r="C140" s="42"/>
      <c r="D140" s="43"/>
      <c r="E140" s="39"/>
      <c r="F140" s="43"/>
    </row>
    <row r="141" ht="14.5" spans="1:6">
      <c r="A141" s="41"/>
      <c r="B141" s="42"/>
      <c r="C141" s="42"/>
      <c r="D141" s="43"/>
      <c r="E141" s="39"/>
      <c r="F141" s="43"/>
    </row>
    <row r="142" ht="14.5" spans="1:6">
      <c r="A142" s="41"/>
      <c r="B142" s="42"/>
      <c r="C142" s="42"/>
      <c r="D142" s="43"/>
      <c r="E142" s="39"/>
      <c r="F142" s="43"/>
    </row>
    <row r="143" ht="14.5" spans="1:6">
      <c r="A143" s="41"/>
      <c r="B143" s="42"/>
      <c r="C143" s="42"/>
      <c r="D143" s="43"/>
      <c r="E143" s="39"/>
      <c r="F143" s="43"/>
    </row>
    <row r="144" ht="14.5" spans="1:6">
      <c r="A144" s="41"/>
      <c r="B144" s="42"/>
      <c r="C144" s="42"/>
      <c r="D144" s="43"/>
      <c r="E144" s="39"/>
      <c r="F144" s="43"/>
    </row>
    <row r="145" ht="14.5" spans="1:6">
      <c r="A145" s="41"/>
      <c r="B145" s="42"/>
      <c r="C145" s="42"/>
      <c r="D145" s="43"/>
      <c r="E145" s="39"/>
      <c r="F145" s="43"/>
    </row>
    <row r="146" ht="14.5" spans="1:6">
      <c r="A146" s="41"/>
      <c r="B146" s="42"/>
      <c r="C146" s="42"/>
      <c r="D146" s="43"/>
      <c r="E146" s="39"/>
      <c r="F146" s="43"/>
    </row>
    <row r="147" ht="14.5" spans="1:6">
      <c r="A147" s="41"/>
      <c r="B147" s="42"/>
      <c r="C147" s="42"/>
      <c r="D147" s="43"/>
      <c r="E147" s="39"/>
      <c r="F147" s="43"/>
    </row>
    <row r="148" ht="14.5" spans="1:6">
      <c r="A148" s="41"/>
      <c r="B148" s="42"/>
      <c r="C148" s="42"/>
      <c r="D148" s="43"/>
      <c r="E148" s="39"/>
      <c r="F148" s="43"/>
    </row>
    <row r="149" ht="14.5" spans="1:6">
      <c r="A149" s="41"/>
      <c r="B149" s="42"/>
      <c r="C149" s="42"/>
      <c r="D149" s="43"/>
      <c r="E149" s="39"/>
      <c r="F149" s="43"/>
    </row>
    <row r="150" ht="14.5" spans="1:6">
      <c r="A150" s="41"/>
      <c r="B150" s="42"/>
      <c r="C150" s="42"/>
      <c r="D150" s="43"/>
      <c r="E150" s="39"/>
      <c r="F150" s="43"/>
    </row>
    <row r="151" ht="14.5" spans="1:6">
      <c r="A151" s="41"/>
      <c r="B151" s="42"/>
      <c r="C151" s="42"/>
      <c r="D151" s="43"/>
      <c r="E151" s="39"/>
      <c r="F151" s="43"/>
    </row>
    <row r="152" ht="14.5" spans="1:6">
      <c r="A152" s="41"/>
      <c r="B152" s="42"/>
      <c r="C152" s="42"/>
      <c r="D152" s="43"/>
      <c r="E152" s="39"/>
      <c r="F152" s="43"/>
    </row>
    <row r="153" ht="14.5" spans="1:6">
      <c r="A153" s="41"/>
      <c r="B153" s="42"/>
      <c r="C153" s="42"/>
      <c r="D153" s="43"/>
      <c r="E153" s="39"/>
      <c r="F153" s="43"/>
    </row>
    <row r="154" ht="14.5" spans="1:6">
      <c r="A154" s="41"/>
      <c r="B154" s="42"/>
      <c r="C154" s="42"/>
      <c r="D154" s="43"/>
      <c r="E154" s="39"/>
      <c r="F154" s="43"/>
    </row>
    <row r="155" ht="14.5" spans="1:6">
      <c r="A155" s="41"/>
      <c r="B155" s="42"/>
      <c r="C155" s="42"/>
      <c r="D155" s="43"/>
      <c r="E155" s="39"/>
      <c r="F155" s="43"/>
    </row>
    <row r="156" ht="14.5" spans="1:6">
      <c r="A156" s="41"/>
      <c r="B156" s="42"/>
      <c r="C156" s="42"/>
      <c r="D156" s="43"/>
      <c r="E156" s="39"/>
      <c r="F156" s="43"/>
    </row>
    <row r="157" ht="14.5" spans="1:6">
      <c r="A157" s="41"/>
      <c r="B157" s="42"/>
      <c r="C157" s="42"/>
      <c r="D157" s="43"/>
      <c r="E157" s="39"/>
      <c r="F157" s="43"/>
    </row>
    <row r="158" ht="14.5" spans="1:6">
      <c r="A158" s="41"/>
      <c r="B158" s="42"/>
      <c r="C158" s="42"/>
      <c r="D158" s="43"/>
      <c r="E158" s="39"/>
      <c r="F158" s="43"/>
    </row>
    <row r="159" ht="14.5" spans="1:6">
      <c r="A159" s="41"/>
      <c r="B159" s="42"/>
      <c r="C159" s="42"/>
      <c r="D159" s="43"/>
      <c r="E159" s="39"/>
      <c r="F159" s="43"/>
    </row>
    <row r="160" ht="14.5" spans="1:6">
      <c r="A160" s="41"/>
      <c r="B160" s="42"/>
      <c r="C160" s="42"/>
      <c r="D160" s="43"/>
      <c r="E160" s="39"/>
      <c r="F160" s="43"/>
    </row>
    <row r="161" ht="14.5" spans="1:6">
      <c r="A161" s="41"/>
      <c r="B161" s="42"/>
      <c r="C161" s="42"/>
      <c r="D161" s="43"/>
      <c r="E161" s="39"/>
      <c r="F161" s="43"/>
    </row>
    <row r="162" ht="14.5" spans="1:6">
      <c r="A162" s="41"/>
      <c r="B162" s="42"/>
      <c r="C162" s="42"/>
      <c r="D162" s="43"/>
      <c r="E162" s="39"/>
      <c r="F162" s="43"/>
    </row>
    <row r="163" ht="14.5" spans="1:6">
      <c r="A163" s="41"/>
      <c r="B163" s="42"/>
      <c r="C163" s="42"/>
      <c r="D163" s="43"/>
      <c r="E163" s="39"/>
      <c r="F163" s="43"/>
    </row>
    <row r="164" ht="14.5" spans="1:6">
      <c r="A164" s="41"/>
      <c r="B164" s="42"/>
      <c r="C164" s="42"/>
      <c r="D164" s="43"/>
      <c r="E164" s="39"/>
      <c r="F164" s="43"/>
    </row>
    <row r="165" ht="14.5" spans="1:6">
      <c r="A165" s="41"/>
      <c r="B165" s="42"/>
      <c r="C165" s="42"/>
      <c r="D165" s="43"/>
      <c r="E165" s="39"/>
      <c r="F165" s="43"/>
    </row>
    <row r="166" ht="14.5" spans="1:6">
      <c r="A166" s="41"/>
      <c r="B166" s="42"/>
      <c r="C166" s="42"/>
      <c r="D166" s="43"/>
      <c r="E166" s="39"/>
      <c r="F166" s="43"/>
    </row>
    <row r="167" ht="14.5" spans="1:6">
      <c r="A167" s="41"/>
      <c r="B167" s="42"/>
      <c r="C167" s="42"/>
      <c r="D167" s="43"/>
      <c r="E167" s="39"/>
      <c r="F167" s="43"/>
    </row>
    <row r="168" ht="14.5" spans="1:6">
      <c r="A168" s="41"/>
      <c r="B168" s="42"/>
      <c r="C168" s="42"/>
      <c r="D168" s="43"/>
      <c r="E168" s="39"/>
      <c r="F168" s="43"/>
    </row>
    <row r="169" ht="14.5" spans="1:6">
      <c r="A169" s="41"/>
      <c r="B169" s="42"/>
      <c r="C169" s="42"/>
      <c r="D169" s="43"/>
      <c r="E169" s="39"/>
      <c r="F169" s="43"/>
    </row>
    <row r="170" ht="14.5" spans="1:6">
      <c r="A170" s="41"/>
      <c r="B170" s="42"/>
      <c r="C170" s="42"/>
      <c r="D170" s="43"/>
      <c r="E170" s="39"/>
      <c r="F170" s="43"/>
    </row>
    <row r="171" ht="14.5" spans="1:6">
      <c r="A171" s="41"/>
      <c r="B171" s="42"/>
      <c r="C171" s="42"/>
      <c r="D171" s="43"/>
      <c r="E171" s="39"/>
      <c r="F171" s="43"/>
    </row>
    <row r="172" ht="14.5" spans="1:6">
      <c r="A172" s="41"/>
      <c r="B172" s="42"/>
      <c r="C172" s="42"/>
      <c r="D172" s="43"/>
      <c r="E172" s="39"/>
      <c r="F172" s="43"/>
    </row>
    <row r="173" ht="14.5" spans="1:6">
      <c r="A173" s="41"/>
      <c r="B173" s="42"/>
      <c r="C173" s="42"/>
      <c r="D173" s="43"/>
      <c r="E173" s="39"/>
      <c r="F173" s="43"/>
    </row>
    <row r="174" ht="14.5" spans="1:6">
      <c r="A174" s="41"/>
      <c r="B174" s="42"/>
      <c r="C174" s="42"/>
      <c r="D174" s="43"/>
      <c r="E174" s="39"/>
      <c r="F174" s="43"/>
    </row>
    <row r="175" ht="14.5" spans="1:6">
      <c r="A175" s="41"/>
      <c r="B175" s="42"/>
      <c r="C175" s="42"/>
      <c r="D175" s="43"/>
      <c r="E175" s="39"/>
      <c r="F175" s="43"/>
    </row>
    <row r="176" ht="14.5" spans="1:6">
      <c r="A176" s="41"/>
      <c r="B176" s="42"/>
      <c r="C176" s="42"/>
      <c r="D176" s="43"/>
      <c r="E176" s="39"/>
      <c r="F176" s="43"/>
    </row>
    <row r="177" ht="14.5" spans="1:6">
      <c r="A177" s="41"/>
      <c r="B177" s="42"/>
      <c r="C177" s="42"/>
      <c r="D177" s="43"/>
      <c r="E177" s="39"/>
      <c r="F177" s="43"/>
    </row>
    <row r="178" ht="14.5" spans="1:6">
      <c r="A178" s="41"/>
      <c r="B178" s="42"/>
      <c r="C178" s="42"/>
      <c r="D178" s="43"/>
      <c r="E178" s="39"/>
      <c r="F178" s="43"/>
    </row>
    <row r="179" ht="14.5" spans="1:6">
      <c r="A179" s="41"/>
      <c r="B179" s="42"/>
      <c r="C179" s="42"/>
      <c r="D179" s="43"/>
      <c r="E179" s="39"/>
      <c r="F179" s="43"/>
    </row>
    <row r="180" ht="14.5" spans="1:6">
      <c r="A180" s="41"/>
      <c r="B180" s="42"/>
      <c r="C180" s="42"/>
      <c r="D180" s="43"/>
      <c r="E180" s="39"/>
      <c r="F180" s="43"/>
    </row>
    <row r="181" ht="14.5" spans="1:6">
      <c r="A181" s="41"/>
      <c r="B181" s="42"/>
      <c r="C181" s="42"/>
      <c r="D181" s="43"/>
      <c r="E181" s="39"/>
      <c r="F181" s="43"/>
    </row>
    <row r="182" ht="14.5" spans="1:6">
      <c r="A182" s="41"/>
      <c r="B182" s="42"/>
      <c r="C182" s="42"/>
      <c r="D182" s="43"/>
      <c r="E182" s="39"/>
      <c r="F182" s="43"/>
    </row>
    <row r="183" ht="14.5" spans="1:6">
      <c r="A183" s="41"/>
      <c r="B183" s="42"/>
      <c r="C183" s="42"/>
      <c r="D183" s="43"/>
      <c r="E183" s="39"/>
      <c r="F183" s="43"/>
    </row>
    <row r="184" ht="14.5" spans="1:6">
      <c r="A184" s="41"/>
      <c r="B184" s="42"/>
      <c r="C184" s="42"/>
      <c r="D184" s="43"/>
      <c r="E184" s="39"/>
      <c r="F184" s="43"/>
    </row>
    <row r="185" ht="14.5" spans="1:6">
      <c r="A185" s="41"/>
      <c r="B185" s="42"/>
      <c r="C185" s="42"/>
      <c r="D185" s="43"/>
      <c r="E185" s="39"/>
      <c r="F185" s="43"/>
    </row>
    <row r="186" ht="14.5" spans="1:6">
      <c r="A186" s="41"/>
      <c r="B186" s="42"/>
      <c r="C186" s="42"/>
      <c r="D186" s="43"/>
      <c r="E186" s="39"/>
      <c r="F186" s="43"/>
    </row>
    <row r="187" ht="14.5" spans="1:6">
      <c r="A187" s="41"/>
      <c r="B187" s="42"/>
      <c r="C187" s="42"/>
      <c r="D187" s="43"/>
      <c r="E187" s="39"/>
      <c r="F187" s="43"/>
    </row>
    <row r="188" ht="14.5" spans="1:6">
      <c r="A188" s="41"/>
      <c r="B188" s="42"/>
      <c r="C188" s="42"/>
      <c r="D188" s="43"/>
      <c r="E188" s="39"/>
      <c r="F188" s="43"/>
    </row>
    <row r="189" ht="14.5" spans="1:6">
      <c r="A189" s="41"/>
      <c r="B189" s="42"/>
      <c r="C189" s="42"/>
      <c r="D189" s="43"/>
      <c r="E189" s="39"/>
      <c r="F189" s="43"/>
    </row>
    <row r="190" ht="14.5" spans="1:6">
      <c r="A190" s="41"/>
      <c r="B190" s="42"/>
      <c r="C190" s="42"/>
      <c r="D190" s="43"/>
      <c r="E190" s="39"/>
      <c r="F190" s="43"/>
    </row>
    <row r="191" ht="14.5" spans="1:6">
      <c r="A191" s="41"/>
      <c r="B191" s="42"/>
      <c r="C191" s="42"/>
      <c r="D191" s="43"/>
      <c r="E191" s="39"/>
      <c r="F191" s="43"/>
    </row>
    <row r="192" ht="14.5" spans="1:6">
      <c r="A192" s="41"/>
      <c r="B192" s="42"/>
      <c r="C192" s="42"/>
      <c r="D192" s="43"/>
      <c r="E192" s="39"/>
      <c r="F192" s="43"/>
    </row>
    <row r="193" ht="14.5" spans="1:6">
      <c r="A193" s="41"/>
      <c r="B193" s="42"/>
      <c r="C193" s="42"/>
      <c r="D193" s="43"/>
      <c r="E193" s="39"/>
      <c r="F193" s="43"/>
    </row>
    <row r="194" ht="14.5" spans="1:6">
      <c r="A194" s="41"/>
      <c r="B194" s="42"/>
      <c r="C194" s="42"/>
      <c r="D194" s="43"/>
      <c r="E194" s="39"/>
      <c r="F194" s="43"/>
    </row>
    <row r="195" ht="14.5" spans="1:6">
      <c r="A195" s="41"/>
      <c r="B195" s="42"/>
      <c r="C195" s="42"/>
      <c r="D195" s="43"/>
      <c r="E195" s="39"/>
      <c r="F195" s="43"/>
    </row>
    <row r="196" ht="14.5" spans="1:6">
      <c r="A196" s="41"/>
      <c r="B196" s="42"/>
      <c r="C196" s="42"/>
      <c r="D196" s="43"/>
      <c r="E196" s="39"/>
      <c r="F196" s="43"/>
    </row>
    <row r="197" ht="14.5" spans="1:6">
      <c r="A197" s="41"/>
      <c r="B197" s="42"/>
      <c r="C197" s="42"/>
      <c r="D197" s="43"/>
      <c r="E197" s="39"/>
      <c r="F197" s="43"/>
    </row>
    <row r="198" ht="14.5" spans="1:6">
      <c r="A198" s="41"/>
      <c r="B198" s="42"/>
      <c r="C198" s="42"/>
      <c r="D198" s="43"/>
      <c r="E198" s="39"/>
      <c r="F198" s="43"/>
    </row>
    <row r="199" ht="14.5" spans="1:6">
      <c r="A199" s="41"/>
      <c r="B199" s="42"/>
      <c r="C199" s="42"/>
      <c r="D199" s="43"/>
      <c r="E199" s="39"/>
      <c r="F199" s="43"/>
    </row>
    <row r="200" ht="14.5" spans="1:6">
      <c r="A200" s="41"/>
      <c r="B200" s="42"/>
      <c r="C200" s="42"/>
      <c r="D200" s="43"/>
      <c r="E200" s="39"/>
      <c r="F200" s="43"/>
    </row>
    <row r="201" ht="14.5" spans="1:6">
      <c r="A201" s="41"/>
      <c r="B201" s="42"/>
      <c r="C201" s="42"/>
      <c r="D201" s="43"/>
      <c r="E201" s="39"/>
      <c r="F201" s="43"/>
    </row>
    <row r="202" ht="14.5" spans="1:6">
      <c r="A202" s="41"/>
      <c r="B202" s="42"/>
      <c r="C202" s="42"/>
      <c r="D202" s="43"/>
      <c r="E202" s="39"/>
      <c r="F202" s="43"/>
    </row>
    <row r="203" ht="14.5" spans="1:6">
      <c r="A203" s="41"/>
      <c r="B203" s="42"/>
      <c r="C203" s="42"/>
      <c r="D203" s="43"/>
      <c r="E203" s="39"/>
      <c r="F203" s="43"/>
    </row>
    <row r="204" ht="14.5" spans="1:6">
      <c r="A204" s="41"/>
      <c r="B204" s="42"/>
      <c r="C204" s="42"/>
      <c r="D204" s="43"/>
      <c r="E204" s="39"/>
      <c r="F204" s="43"/>
    </row>
    <row r="205" ht="14.5" spans="1:6">
      <c r="A205" s="41"/>
      <c r="B205" s="42"/>
      <c r="C205" s="42"/>
      <c r="D205" s="43"/>
      <c r="E205" s="39"/>
      <c r="F205" s="43"/>
    </row>
    <row r="206" ht="14.5" spans="1:6">
      <c r="A206" s="41"/>
      <c r="B206" s="42"/>
      <c r="C206" s="42"/>
      <c r="D206" s="43"/>
      <c r="E206" s="39"/>
      <c r="F206" s="43"/>
    </row>
    <row r="207" ht="14.5" spans="1:6">
      <c r="A207" s="41"/>
      <c r="B207" s="42"/>
      <c r="C207" s="42"/>
      <c r="D207" s="43"/>
      <c r="E207" s="39"/>
      <c r="F207" s="43"/>
    </row>
    <row r="208" ht="14.5" spans="1:6">
      <c r="A208" s="41"/>
      <c r="B208" s="42"/>
      <c r="C208" s="42"/>
      <c r="D208" s="43"/>
      <c r="E208" s="39"/>
      <c r="F208" s="43"/>
    </row>
    <row r="209" ht="14.5" spans="1:6">
      <c r="A209" s="41"/>
      <c r="B209" s="42"/>
      <c r="C209" s="42"/>
      <c r="D209" s="43"/>
      <c r="E209" s="39"/>
      <c r="F209" s="43"/>
    </row>
    <row r="210" ht="14.5" spans="1:6">
      <c r="A210" s="41"/>
      <c r="B210" s="42"/>
      <c r="C210" s="42"/>
      <c r="D210" s="43"/>
      <c r="E210" s="39"/>
      <c r="F210" s="43"/>
    </row>
    <row r="211" ht="14.5" spans="1:6">
      <c r="A211" s="41"/>
      <c r="B211" s="42"/>
      <c r="C211" s="42"/>
      <c r="D211" s="43"/>
      <c r="E211" s="39"/>
      <c r="F211" s="43"/>
    </row>
    <row r="212" ht="14.5" spans="1:6">
      <c r="A212" s="41"/>
      <c r="B212" s="42"/>
      <c r="C212" s="42"/>
      <c r="D212" s="43"/>
      <c r="E212" s="39"/>
      <c r="F212" s="43"/>
    </row>
    <row r="213" ht="14.5" spans="1:6">
      <c r="A213" s="41"/>
      <c r="B213" s="42"/>
      <c r="C213" s="42"/>
      <c r="D213" s="43"/>
      <c r="E213" s="39"/>
      <c r="F213" s="43"/>
    </row>
    <row r="214" ht="14.5" spans="1:6">
      <c r="A214" s="41"/>
      <c r="B214" s="42"/>
      <c r="C214" s="42"/>
      <c r="D214" s="43"/>
      <c r="E214" s="39"/>
      <c r="F214" s="43"/>
    </row>
    <row r="215" ht="14.5" spans="1:6">
      <c r="A215" s="41"/>
      <c r="B215" s="42"/>
      <c r="C215" s="42"/>
      <c r="D215" s="43"/>
      <c r="E215" s="39"/>
      <c r="F215" s="43"/>
    </row>
    <row r="216" ht="14.5" spans="1:6">
      <c r="A216" s="41"/>
      <c r="B216" s="42"/>
      <c r="C216" s="42"/>
      <c r="D216" s="43"/>
      <c r="E216" s="39"/>
      <c r="F216" s="43"/>
    </row>
    <row r="217" ht="14.5" spans="1:6">
      <c r="A217" s="41"/>
      <c r="B217" s="42"/>
      <c r="C217" s="42"/>
      <c r="D217" s="43"/>
      <c r="E217" s="39"/>
      <c r="F217" s="43"/>
    </row>
    <row r="218" ht="14.5" spans="1:6">
      <c r="A218" s="41"/>
      <c r="B218" s="42"/>
      <c r="C218" s="42"/>
      <c r="D218" s="43"/>
      <c r="E218" s="39"/>
      <c r="F218" s="43"/>
    </row>
    <row r="219" ht="14.5" spans="1:6">
      <c r="A219" s="41"/>
      <c r="B219" s="42"/>
      <c r="C219" s="42"/>
      <c r="D219" s="43"/>
      <c r="E219" s="39"/>
      <c r="F219" s="43"/>
    </row>
    <row r="220" ht="14.5" spans="1:6">
      <c r="A220" s="41"/>
      <c r="B220" s="42"/>
      <c r="C220" s="42"/>
      <c r="D220" s="43"/>
      <c r="E220" s="39"/>
      <c r="F220" s="43"/>
    </row>
    <row r="221" ht="14.5" spans="1:6">
      <c r="A221" s="41"/>
      <c r="B221" s="42"/>
      <c r="C221" s="42"/>
      <c r="D221" s="43"/>
      <c r="E221" s="39"/>
      <c r="F221" s="43"/>
    </row>
    <row r="222" ht="14.5" spans="1:6">
      <c r="A222" s="41"/>
      <c r="B222" s="42"/>
      <c r="C222" s="42"/>
      <c r="D222" s="43"/>
      <c r="E222" s="39"/>
      <c r="F222" s="43"/>
    </row>
    <row r="223" ht="14.5" spans="1:6">
      <c r="A223" s="41"/>
      <c r="B223" s="42"/>
      <c r="C223" s="42"/>
      <c r="D223" s="43"/>
      <c r="E223" s="39"/>
      <c r="F223" s="43"/>
    </row>
    <row r="224" ht="14.5" spans="1:6">
      <c r="A224" s="41"/>
      <c r="B224" s="42"/>
      <c r="C224" s="42"/>
      <c r="D224" s="43"/>
      <c r="E224" s="39"/>
      <c r="F224" s="43"/>
    </row>
    <row r="225" ht="14.5" spans="1:6">
      <c r="A225" s="41"/>
      <c r="B225" s="42"/>
      <c r="C225" s="42"/>
      <c r="D225" s="43"/>
      <c r="E225" s="39"/>
      <c r="F225" s="43"/>
    </row>
    <row r="226" ht="14.5" spans="1:6">
      <c r="A226" s="41"/>
      <c r="B226" s="42"/>
      <c r="C226" s="42"/>
      <c r="D226" s="43"/>
      <c r="E226" s="39"/>
      <c r="F226" s="43"/>
    </row>
    <row r="227" ht="14.5" spans="1:6">
      <c r="A227" s="41"/>
      <c r="B227" s="42"/>
      <c r="C227" s="42"/>
      <c r="D227" s="43"/>
      <c r="E227" s="39"/>
      <c r="F227" s="43"/>
    </row>
    <row r="228" ht="14.5" spans="1:6">
      <c r="A228" s="41"/>
      <c r="B228" s="42"/>
      <c r="C228" s="42"/>
      <c r="D228" s="43"/>
      <c r="E228" s="39"/>
      <c r="F228" s="43"/>
    </row>
    <row r="229" ht="14.5" spans="1:6">
      <c r="A229" s="41"/>
      <c r="B229" s="42"/>
      <c r="C229" s="42"/>
      <c r="D229" s="43"/>
      <c r="E229" s="39"/>
      <c r="F229" s="43"/>
    </row>
    <row r="230" ht="14.5" spans="1:6">
      <c r="A230" s="41"/>
      <c r="B230" s="42"/>
      <c r="C230" s="42"/>
      <c r="D230" s="43"/>
      <c r="E230" s="39"/>
      <c r="F230" s="43"/>
    </row>
    <row r="231" ht="14.5" spans="1:6">
      <c r="A231" s="41"/>
      <c r="B231" s="42"/>
      <c r="C231" s="42"/>
      <c r="D231" s="43"/>
      <c r="E231" s="39"/>
      <c r="F231" s="43"/>
    </row>
    <row r="232" ht="14.5" spans="1:6">
      <c r="A232" s="41"/>
      <c r="B232" s="42"/>
      <c r="C232" s="42"/>
      <c r="D232" s="43"/>
      <c r="E232" s="39"/>
      <c r="F232" s="43"/>
    </row>
    <row r="233" ht="14.5" spans="1:6">
      <c r="A233" s="41"/>
      <c r="B233" s="42"/>
      <c r="C233" s="42"/>
      <c r="D233" s="43"/>
      <c r="E233" s="39"/>
      <c r="F233" s="43"/>
    </row>
    <row r="234" ht="14.5" spans="1:6">
      <c r="A234" s="41"/>
      <c r="B234" s="42"/>
      <c r="C234" s="42"/>
      <c r="D234" s="43"/>
      <c r="E234" s="39"/>
      <c r="F234" s="43"/>
    </row>
    <row r="235" ht="14.5" spans="1:6">
      <c r="A235" s="41"/>
      <c r="B235" s="42"/>
      <c r="C235" s="42"/>
      <c r="D235" s="43"/>
      <c r="E235" s="39"/>
      <c r="F235" s="43"/>
    </row>
    <row r="236" ht="14.5" spans="1:6">
      <c r="A236" s="41"/>
      <c r="B236" s="42"/>
      <c r="C236" s="42"/>
      <c r="D236" s="43"/>
      <c r="E236" s="39"/>
      <c r="F236" s="43"/>
    </row>
    <row r="237" ht="14.5" spans="1:6">
      <c r="A237" s="41"/>
      <c r="B237" s="42"/>
      <c r="C237" s="42"/>
      <c r="D237" s="43"/>
      <c r="E237" s="39"/>
      <c r="F237" s="43"/>
    </row>
    <row r="238" ht="14.5" spans="1:6">
      <c r="A238" s="41"/>
      <c r="B238" s="42"/>
      <c r="C238" s="42"/>
      <c r="D238" s="43"/>
      <c r="E238" s="39"/>
      <c r="F238" s="43"/>
    </row>
    <row r="239" ht="14.5" spans="1:6">
      <c r="A239" s="41"/>
      <c r="B239" s="42"/>
      <c r="C239" s="42"/>
      <c r="D239" s="43"/>
      <c r="E239" s="39"/>
      <c r="F239" s="43"/>
    </row>
    <row r="240" ht="14.5" spans="1:6">
      <c r="A240" s="41"/>
      <c r="B240" s="42"/>
      <c r="C240" s="42"/>
      <c r="D240" s="43"/>
      <c r="E240" s="39"/>
      <c r="F240" s="43"/>
    </row>
    <row r="241" ht="14.5" spans="1:6">
      <c r="A241" s="41"/>
      <c r="B241" s="42"/>
      <c r="C241" s="42"/>
      <c r="D241" s="43"/>
      <c r="E241" s="39"/>
      <c r="F241" s="43"/>
    </row>
    <row r="242" ht="14.5" spans="1:6">
      <c r="A242" s="41"/>
      <c r="B242" s="42"/>
      <c r="C242" s="42"/>
      <c r="D242" s="43"/>
      <c r="E242" s="39"/>
      <c r="F242" s="43"/>
    </row>
    <row r="243" ht="14.5" spans="1:6">
      <c r="A243" s="41"/>
      <c r="B243" s="42"/>
      <c r="C243" s="42"/>
      <c r="D243" s="43"/>
      <c r="E243" s="39"/>
      <c r="F243" s="43"/>
    </row>
    <row r="244" ht="14.5" spans="1:6">
      <c r="A244" s="41"/>
      <c r="B244" s="42"/>
      <c r="C244" s="42"/>
      <c r="D244" s="43"/>
      <c r="E244" s="39"/>
      <c r="F244" s="43"/>
    </row>
    <row r="245" ht="14.5" spans="1:6">
      <c r="A245" s="41"/>
      <c r="B245" s="42"/>
      <c r="C245" s="42"/>
      <c r="D245" s="43"/>
      <c r="E245" s="39"/>
      <c r="F245" s="43"/>
    </row>
    <row r="246" ht="14.5" spans="1:6">
      <c r="A246" s="41"/>
      <c r="B246" s="42"/>
      <c r="C246" s="42"/>
      <c r="D246" s="43"/>
      <c r="E246" s="39"/>
      <c r="F246" s="43"/>
    </row>
    <row r="247" ht="14.5" spans="1:6">
      <c r="A247" s="41"/>
      <c r="B247" s="42"/>
      <c r="C247" s="42"/>
      <c r="D247" s="43"/>
      <c r="E247" s="39"/>
      <c r="F247" s="43"/>
    </row>
    <row r="248" ht="14.5" spans="1:6">
      <c r="A248" s="41"/>
      <c r="B248" s="42"/>
      <c r="C248" s="42"/>
      <c r="D248" s="43"/>
      <c r="E248" s="39"/>
      <c r="F248" s="43"/>
    </row>
    <row r="249" ht="14.5" spans="1:6">
      <c r="A249" s="41"/>
      <c r="B249" s="42"/>
      <c r="C249" s="42"/>
      <c r="D249" s="43"/>
      <c r="E249" s="39"/>
      <c r="F249" s="43"/>
    </row>
    <row r="250" ht="14.5" spans="1:6">
      <c r="A250" s="41"/>
      <c r="B250" s="42"/>
      <c r="C250" s="42"/>
      <c r="D250" s="43"/>
      <c r="E250" s="39"/>
      <c r="F250" s="43"/>
    </row>
    <row r="251" ht="14.5" spans="1:6">
      <c r="A251" s="41"/>
      <c r="B251" s="42"/>
      <c r="C251" s="42"/>
      <c r="D251" s="43"/>
      <c r="E251" s="39"/>
      <c r="F251" s="43"/>
    </row>
    <row r="252" ht="14.5" spans="1:6">
      <c r="A252" s="41"/>
      <c r="B252" s="42"/>
      <c r="C252" s="42"/>
      <c r="D252" s="43"/>
      <c r="E252" s="39"/>
      <c r="F252" s="43"/>
    </row>
    <row r="253" ht="14.5" spans="1:6">
      <c r="A253" s="41"/>
      <c r="B253" s="42"/>
      <c r="C253" s="42"/>
      <c r="D253" s="43"/>
      <c r="E253" s="39"/>
      <c r="F253" s="43"/>
    </row>
    <row r="254" ht="14.5" spans="1:6">
      <c r="A254" s="41"/>
      <c r="B254" s="42"/>
      <c r="C254" s="42"/>
      <c r="D254" s="43"/>
      <c r="E254" s="39"/>
      <c r="F254" s="43"/>
    </row>
    <row r="255" ht="14.5" spans="1:6">
      <c r="A255" s="41"/>
      <c r="B255" s="42"/>
      <c r="C255" s="42"/>
      <c r="D255" s="43"/>
      <c r="E255" s="39"/>
      <c r="F255" s="43"/>
    </row>
    <row r="256" ht="14.5" spans="1:6">
      <c r="A256" s="41"/>
      <c r="B256" s="42"/>
      <c r="C256" s="42"/>
      <c r="D256" s="43"/>
      <c r="E256" s="39"/>
      <c r="F256" s="43"/>
    </row>
    <row r="257" ht="14.5" spans="1:6">
      <c r="A257" s="41"/>
      <c r="B257" s="42"/>
      <c r="C257" s="42"/>
      <c r="D257" s="43"/>
      <c r="E257" s="39"/>
      <c r="F257" s="43"/>
    </row>
    <row r="258" ht="14.5" spans="1:6">
      <c r="A258" s="41"/>
      <c r="B258" s="42"/>
      <c r="C258" s="42"/>
      <c r="D258" s="43"/>
      <c r="E258" s="39"/>
      <c r="F258" s="43"/>
    </row>
    <row r="259" ht="14.5" spans="1:6">
      <c r="A259" s="41"/>
      <c r="B259" s="42"/>
      <c r="C259" s="42"/>
      <c r="D259" s="43"/>
      <c r="E259" s="39"/>
      <c r="F259" s="43"/>
    </row>
    <row r="260" ht="14.5" spans="1:6">
      <c r="A260" s="41"/>
      <c r="B260" s="42"/>
      <c r="C260" s="42"/>
      <c r="D260" s="43"/>
      <c r="E260" s="39"/>
      <c r="F260" s="43"/>
    </row>
    <row r="261" ht="14.5" spans="1:6">
      <c r="A261" s="41"/>
      <c r="B261" s="42"/>
      <c r="C261" s="42"/>
      <c r="D261" s="43"/>
      <c r="E261" s="39"/>
      <c r="F261" s="43"/>
    </row>
    <row r="262" ht="14.5" spans="1:6">
      <c r="A262" s="41"/>
      <c r="B262" s="42"/>
      <c r="C262" s="42"/>
      <c r="D262" s="43"/>
      <c r="E262" s="39"/>
      <c r="F262" s="43"/>
    </row>
    <row r="263" ht="14.5" spans="1:6">
      <c r="A263" s="41"/>
      <c r="B263" s="42"/>
      <c r="C263" s="42"/>
      <c r="D263" s="43"/>
      <c r="E263" s="39"/>
      <c r="F263" s="43"/>
    </row>
    <row r="264" ht="14.5" spans="1:6">
      <c r="A264" s="41"/>
      <c r="B264" s="42"/>
      <c r="C264" s="42"/>
      <c r="D264" s="43"/>
      <c r="E264" s="39"/>
      <c r="F264" s="43"/>
    </row>
    <row r="265" ht="14.5" spans="1:6">
      <c r="A265" s="41"/>
      <c r="B265" s="42"/>
      <c r="C265" s="42"/>
      <c r="D265" s="43"/>
      <c r="E265" s="39"/>
      <c r="F265" s="43"/>
    </row>
    <row r="266" ht="14.5" spans="1:6">
      <c r="A266" s="41"/>
      <c r="B266" s="42"/>
      <c r="C266" s="42"/>
      <c r="D266" s="43"/>
      <c r="E266" s="39"/>
      <c r="F266" s="43"/>
    </row>
    <row r="267" ht="14.5" spans="1:6">
      <c r="A267" s="41"/>
      <c r="B267" s="42"/>
      <c r="C267" s="42"/>
      <c r="D267" s="43"/>
      <c r="E267" s="39"/>
      <c r="F267" s="43"/>
    </row>
    <row r="268" ht="14.5" spans="1:6">
      <c r="A268" s="41"/>
      <c r="B268" s="42"/>
      <c r="C268" s="42"/>
      <c r="D268" s="43"/>
      <c r="E268" s="39"/>
      <c r="F268" s="43"/>
    </row>
    <row r="269" ht="14.5" spans="1:6">
      <c r="A269" s="41"/>
      <c r="B269" s="42"/>
      <c r="C269" s="42"/>
      <c r="D269" s="43"/>
      <c r="E269" s="39"/>
      <c r="F269" s="43"/>
    </row>
    <row r="270" ht="14.5" spans="1:6">
      <c r="A270" s="41"/>
      <c r="B270" s="42"/>
      <c r="C270" s="42"/>
      <c r="D270" s="43"/>
      <c r="E270" s="39"/>
      <c r="F270" s="43"/>
    </row>
    <row r="271" ht="14.5" spans="1:6">
      <c r="A271" s="41"/>
      <c r="B271" s="42"/>
      <c r="C271" s="42"/>
      <c r="D271" s="43"/>
      <c r="E271" s="39"/>
      <c r="F271" s="43"/>
    </row>
    <row r="272" ht="14.5" spans="1:6">
      <c r="A272" s="41"/>
      <c r="B272" s="42"/>
      <c r="C272" s="42"/>
      <c r="D272" s="43"/>
      <c r="E272" s="39"/>
      <c r="F272" s="43"/>
    </row>
    <row r="273" ht="14.5" spans="1:6">
      <c r="A273" s="41"/>
      <c r="B273" s="42"/>
      <c r="C273" s="42"/>
      <c r="D273" s="43"/>
      <c r="E273" s="39"/>
      <c r="F273" s="43"/>
    </row>
    <row r="274" ht="14.5" spans="1:6">
      <c r="A274" s="41"/>
      <c r="B274" s="42"/>
      <c r="C274" s="42"/>
      <c r="D274" s="43"/>
      <c r="E274" s="39"/>
      <c r="F274" s="43"/>
    </row>
    <row r="275" ht="14.5" spans="1:6">
      <c r="A275" s="41"/>
      <c r="B275" s="42"/>
      <c r="C275" s="42"/>
      <c r="D275" s="43"/>
      <c r="E275" s="39"/>
      <c r="F275" s="43"/>
    </row>
    <row r="276" ht="14.5" spans="1:6">
      <c r="A276" s="41"/>
      <c r="B276" s="42"/>
      <c r="C276" s="42"/>
      <c r="D276" s="43"/>
      <c r="E276" s="39"/>
      <c r="F276" s="43"/>
    </row>
    <row r="277" ht="14.5" spans="1:6">
      <c r="A277" s="41"/>
      <c r="B277" s="42"/>
      <c r="C277" s="42"/>
      <c r="D277" s="43"/>
      <c r="E277" s="39"/>
      <c r="F277" s="43"/>
    </row>
    <row r="278" ht="14.5" spans="1:6">
      <c r="A278" s="41"/>
      <c r="B278" s="42"/>
      <c r="C278" s="42"/>
      <c r="D278" s="43"/>
      <c r="E278" s="39"/>
      <c r="F278" s="43"/>
    </row>
    <row r="279" ht="14.5" spans="1:6">
      <c r="A279" s="41"/>
      <c r="B279" s="42"/>
      <c r="C279" s="42"/>
      <c r="D279" s="43"/>
      <c r="E279" s="39"/>
      <c r="F279" s="43"/>
    </row>
    <row r="280" ht="14.5" spans="1:6">
      <c r="A280" s="41"/>
      <c r="B280" s="42"/>
      <c r="C280" s="42"/>
      <c r="D280" s="43"/>
      <c r="E280" s="39"/>
      <c r="F280" s="43"/>
    </row>
    <row r="281" ht="14.5" spans="1:6">
      <c r="A281" s="41"/>
      <c r="B281" s="42"/>
      <c r="C281" s="42"/>
      <c r="D281" s="43"/>
      <c r="E281" s="39"/>
      <c r="F281" s="43"/>
    </row>
    <row r="282" ht="14.5" spans="1:6">
      <c r="A282" s="41"/>
      <c r="B282" s="42"/>
      <c r="C282" s="42"/>
      <c r="D282" s="43"/>
      <c r="E282" s="39"/>
      <c r="F282" s="43"/>
    </row>
    <row r="283" ht="14.5" spans="1:6">
      <c r="A283" s="41"/>
      <c r="B283" s="42"/>
      <c r="C283" s="42"/>
      <c r="D283" s="43"/>
      <c r="E283" s="39"/>
      <c r="F283" s="43"/>
    </row>
    <row r="284" ht="14.5" spans="1:6">
      <c r="A284" s="41"/>
      <c r="B284" s="42"/>
      <c r="C284" s="42"/>
      <c r="D284" s="43"/>
      <c r="E284" s="39"/>
      <c r="F284" s="43"/>
    </row>
    <row r="285" ht="14.5" spans="1:6">
      <c r="A285" s="41"/>
      <c r="B285" s="42"/>
      <c r="C285" s="42"/>
      <c r="D285" s="43"/>
      <c r="E285" s="39"/>
      <c r="F285" s="43"/>
    </row>
    <row r="286" ht="14.5" spans="1:6">
      <c r="A286" s="41"/>
      <c r="B286" s="42"/>
      <c r="C286" s="42"/>
      <c r="D286" s="43"/>
      <c r="E286" s="39"/>
      <c r="F286" s="43"/>
    </row>
    <row r="287" ht="14.5" spans="1:6">
      <c r="A287" s="41"/>
      <c r="B287" s="42"/>
      <c r="C287" s="42"/>
      <c r="D287" s="43"/>
      <c r="E287" s="39"/>
      <c r="F287" s="43"/>
    </row>
    <row r="288" ht="14.5" spans="1:6">
      <c r="A288" s="41"/>
      <c r="B288" s="42"/>
      <c r="C288" s="42"/>
      <c r="D288" s="43"/>
      <c r="E288" s="39"/>
      <c r="F288" s="43"/>
    </row>
    <row r="289" ht="14.5" spans="1:6">
      <c r="A289" s="41"/>
      <c r="B289" s="42"/>
      <c r="C289" s="42"/>
      <c r="D289" s="43"/>
      <c r="E289" s="39"/>
      <c r="F289" s="43"/>
    </row>
    <row r="290" ht="14.5" spans="1:6">
      <c r="A290" s="41"/>
      <c r="B290" s="42"/>
      <c r="C290" s="42"/>
      <c r="D290" s="43"/>
      <c r="E290" s="39"/>
      <c r="F290" s="43"/>
    </row>
    <row r="291" ht="14.5" spans="1:6">
      <c r="A291" s="41"/>
      <c r="B291" s="42"/>
      <c r="C291" s="42"/>
      <c r="D291" s="43"/>
      <c r="E291" s="39"/>
      <c r="F291" s="43"/>
    </row>
    <row r="292" ht="14.5" spans="1:6">
      <c r="A292" s="41"/>
      <c r="B292" s="42"/>
      <c r="C292" s="42"/>
      <c r="D292" s="43"/>
      <c r="E292" s="39"/>
      <c r="F292" s="43"/>
    </row>
    <row r="293" ht="14.5" spans="1:6">
      <c r="A293" s="41"/>
      <c r="B293" s="42"/>
      <c r="C293" s="42"/>
      <c r="D293" s="43"/>
      <c r="E293" s="39"/>
      <c r="F293" s="43"/>
    </row>
    <row r="294" ht="14.5" spans="1:6">
      <c r="A294" s="41"/>
      <c r="B294" s="42"/>
      <c r="C294" s="42"/>
      <c r="D294" s="43"/>
      <c r="E294" s="39"/>
      <c r="F294" s="43"/>
    </row>
    <row r="295" ht="14.5" spans="1:6">
      <c r="A295" s="41"/>
      <c r="B295" s="42"/>
      <c r="C295" s="42"/>
      <c r="D295" s="43"/>
      <c r="E295" s="39"/>
      <c r="F295" s="43"/>
    </row>
    <row r="296" ht="14.5" spans="1:6">
      <c r="A296" s="41"/>
      <c r="B296" s="42"/>
      <c r="C296" s="42"/>
      <c r="D296" s="43"/>
      <c r="E296" s="39"/>
      <c r="F296" s="43"/>
    </row>
    <row r="297" ht="14.5" spans="1:6">
      <c r="A297" s="41"/>
      <c r="B297" s="42"/>
      <c r="C297" s="42"/>
      <c r="D297" s="43"/>
      <c r="E297" s="39"/>
      <c r="F297" s="43"/>
    </row>
    <row r="298" ht="14.5" spans="1:6">
      <c r="A298" s="41"/>
      <c r="B298" s="42"/>
      <c r="C298" s="42"/>
      <c r="D298" s="43"/>
      <c r="E298" s="39"/>
      <c r="F298" s="43"/>
    </row>
    <row r="299" ht="14.5" spans="1:6">
      <c r="A299" s="41"/>
      <c r="B299" s="42"/>
      <c r="C299" s="42"/>
      <c r="D299" s="43"/>
      <c r="E299" s="39"/>
      <c r="F299" s="43"/>
    </row>
    <row r="300" ht="14.5" spans="1:6">
      <c r="A300" s="41"/>
      <c r="B300" s="42"/>
      <c r="C300" s="42"/>
      <c r="D300" s="43"/>
      <c r="E300" s="39"/>
      <c r="F300" s="43"/>
    </row>
    <row r="301" ht="14.5" spans="1:6">
      <c r="A301" s="41"/>
      <c r="B301" s="42"/>
      <c r="C301" s="42"/>
      <c r="D301" s="43"/>
      <c r="E301" s="39"/>
      <c r="F301" s="43"/>
    </row>
    <row r="302" ht="14.5" spans="1:6">
      <c r="A302" s="41"/>
      <c r="B302" s="42"/>
      <c r="C302" s="42"/>
      <c r="D302" s="43"/>
      <c r="E302" s="39"/>
      <c r="F302" s="43"/>
    </row>
    <row r="303" ht="14.5" spans="1:6">
      <c r="A303" s="41"/>
      <c r="B303" s="42"/>
      <c r="C303" s="42"/>
      <c r="D303" s="43"/>
      <c r="E303" s="39"/>
      <c r="F303" s="43"/>
    </row>
  </sheetData>
  <mergeCells count="2">
    <mergeCell ref="A1:F1"/>
    <mergeCell ref="A2:F2"/>
  </mergeCells>
  <dataValidations count="2">
    <dataValidation type="list" allowBlank="1" sqref="B4:B303">
      <formula1>"收入,支出"</formula1>
    </dataValidation>
    <dataValidation type="list" allowBlank="1" sqref="C4:C303">
      <formula1>"工资收入,投资收益,其他收入,生活支出,房贷/租金,教育支出,保险支出,其他支出"</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8F00"/>
  </sheetPr>
  <dimension ref="A1:M29"/>
  <sheetViews>
    <sheetView workbookViewId="0">
      <pane xSplit="1" ySplit="3" topLeftCell="B4" activePane="bottomRight" state="frozen"/>
      <selection/>
      <selection pane="topRight"/>
      <selection pane="bottomLeft"/>
      <selection pane="bottomRight" activeCell="A1" sqref="A1:M1"/>
    </sheetView>
  </sheetViews>
  <sheetFormatPr defaultColWidth="9" defaultRowHeight="14"/>
  <cols>
    <col min="1" max="1" width="11" customWidth="1"/>
    <col min="2" max="6" width="16" customWidth="1"/>
    <col min="7" max="7" width="14" customWidth="1"/>
    <col min="8" max="8" width="16" customWidth="1"/>
    <col min="9" max="9" width="14" customWidth="1"/>
    <col min="10" max="10" width="10" customWidth="1"/>
    <col min="11" max="11" width="12" customWidth="1"/>
    <col min="12" max="12" width="20" customWidth="1"/>
    <col min="13" max="13" width="32" customWidth="1"/>
  </cols>
  <sheetData>
    <row r="1" ht="26" customHeight="1" spans="1:13">
      <c r="A1" s="1" t="s">
        <v>327</v>
      </c>
    </row>
    <row r="2" ht="16" customHeight="1" spans="1:13">
      <c r="A2" s="2" t="s">
        <v>328</v>
      </c>
    </row>
    <row r="3" ht="30" customHeight="1" spans="1:13">
      <c r="A3" s="7" t="s">
        <v>294</v>
      </c>
      <c r="B3" s="7" t="s">
        <v>6</v>
      </c>
      <c r="C3" s="7" t="s">
        <v>7</v>
      </c>
      <c r="D3" s="7" t="s">
        <v>8</v>
      </c>
      <c r="E3" s="7" t="s">
        <v>83</v>
      </c>
      <c r="F3" s="7" t="s">
        <v>329</v>
      </c>
      <c r="G3" s="7" t="s">
        <v>330</v>
      </c>
      <c r="H3" s="7" t="s">
        <v>14</v>
      </c>
      <c r="I3" s="7" t="s">
        <v>331</v>
      </c>
      <c r="J3" s="7" t="s">
        <v>332</v>
      </c>
      <c r="K3" s="7" t="s">
        <v>333</v>
      </c>
      <c r="L3" s="7" t="s">
        <v>334</v>
      </c>
      <c r="M3" s="7" t="s">
        <v>61</v>
      </c>
    </row>
    <row r="4" ht="14.5" spans="1:13">
      <c r="A4" s="35">
        <v>46266</v>
      </c>
      <c r="B4" s="16">
        <f>资产明细!G8</f>
        <v>1553000</v>
      </c>
      <c r="C4" s="16">
        <f>资产明细!G13</f>
        <v>5326364.26</v>
      </c>
      <c r="D4" s="16">
        <f>资产明细!G17</f>
        <v>2354000</v>
      </c>
      <c r="E4" s="16">
        <f>资产明细!G22</f>
        <v>1899138.36</v>
      </c>
      <c r="F4" s="27">
        <f t="shared" ref="F4:F27" si="0">IF(COUNT(B4:E4)=0,"",SUM(B4:E4))</f>
        <v>11132502.62</v>
      </c>
      <c r="G4" s="16">
        <f>资产明细!G32</f>
        <v>0</v>
      </c>
      <c r="H4" s="27">
        <f t="shared" ref="H4:H27" si="1">IF(F4="","",F4-N(G4))</f>
        <v>11132502.62</v>
      </c>
      <c r="I4" s="36" t="s">
        <v>13</v>
      </c>
      <c r="J4" s="37" t="s">
        <v>13</v>
      </c>
      <c r="K4" s="29">
        <f>IF(F4="","",IFERROR((N(B4)+N(C4)+N(D4))/FIRE目标,""))</f>
        <v>0.7386691408</v>
      </c>
      <c r="L4" s="16">
        <f>资产明细!G25</f>
        <v>1600567.28</v>
      </c>
      <c r="M4" s="38"/>
    </row>
    <row r="5" ht="14.5" spans="1:13">
      <c r="A5" s="35">
        <v>46296</v>
      </c>
      <c r="B5" s="39"/>
      <c r="C5" s="39"/>
      <c r="D5" s="39"/>
      <c r="E5" s="39"/>
      <c r="F5" s="27" t="str">
        <f t="shared" si="0"/>
        <v/>
      </c>
      <c r="G5" s="39"/>
      <c r="H5" s="27" t="str">
        <f t="shared" si="1"/>
        <v/>
      </c>
      <c r="I5" s="27" t="str">
        <f t="shared" ref="I5:I27" si="2">IF(OR(F5="",F4=""),"",H5-H4)</f>
        <v/>
      </c>
      <c r="J5" s="29" t="str">
        <f t="shared" ref="J5:J27" si="3">IF(OR(I5="",H4=0,H4=""),"",I5/H4)</f>
        <v/>
      </c>
      <c r="K5" s="29" t="str">
        <f>IF(F5="","",IFERROR((N(B5)+N(C5)+N(D5))/FIRE目标,""))</f>
        <v/>
      </c>
      <c r="L5" s="39"/>
      <c r="M5" s="38"/>
    </row>
    <row r="6" ht="14.5" spans="1:13">
      <c r="A6" s="35">
        <v>46327</v>
      </c>
      <c r="B6" s="39"/>
      <c r="C6" s="39"/>
      <c r="D6" s="39"/>
      <c r="E6" s="39"/>
      <c r="F6" s="27" t="str">
        <f t="shared" si="0"/>
        <v/>
      </c>
      <c r="G6" s="39"/>
      <c r="H6" s="27" t="str">
        <f t="shared" si="1"/>
        <v/>
      </c>
      <c r="I6" s="27" t="str">
        <f t="shared" si="2"/>
        <v/>
      </c>
      <c r="J6" s="29" t="str">
        <f t="shared" si="3"/>
        <v/>
      </c>
      <c r="K6" s="29" t="str">
        <f>IF(F6="","",IFERROR((N(B6)+N(C6)+N(D6))/FIRE目标,""))</f>
        <v/>
      </c>
      <c r="L6" s="39"/>
      <c r="M6" s="38"/>
    </row>
    <row r="7" ht="14.5" spans="1:13">
      <c r="A7" s="35">
        <v>46357</v>
      </c>
      <c r="B7" s="39"/>
      <c r="C7" s="39"/>
      <c r="D7" s="39"/>
      <c r="E7" s="39"/>
      <c r="F7" s="27" t="str">
        <f t="shared" si="0"/>
        <v/>
      </c>
      <c r="G7" s="39"/>
      <c r="H7" s="27" t="str">
        <f t="shared" si="1"/>
        <v/>
      </c>
      <c r="I7" s="27" t="str">
        <f t="shared" si="2"/>
        <v/>
      </c>
      <c r="J7" s="29" t="str">
        <f t="shared" si="3"/>
        <v/>
      </c>
      <c r="K7" s="29" t="str">
        <f>IF(F7="","",IFERROR((N(B7)+N(C7)+N(D7))/FIRE目标,""))</f>
        <v/>
      </c>
      <c r="L7" s="39"/>
      <c r="M7" s="38"/>
    </row>
    <row r="8" ht="14.5" spans="1:13">
      <c r="A8" s="35">
        <v>46388</v>
      </c>
      <c r="B8" s="39"/>
      <c r="C8" s="39"/>
      <c r="D8" s="39"/>
      <c r="E8" s="39"/>
      <c r="F8" s="27" t="str">
        <f t="shared" si="0"/>
        <v/>
      </c>
      <c r="G8" s="39"/>
      <c r="H8" s="27" t="str">
        <f t="shared" si="1"/>
        <v/>
      </c>
      <c r="I8" s="27" t="str">
        <f t="shared" si="2"/>
        <v/>
      </c>
      <c r="J8" s="29" t="str">
        <f t="shared" si="3"/>
        <v/>
      </c>
      <c r="K8" s="29" t="str">
        <f>IF(F8="","",IFERROR((N(B8)+N(C8)+N(D8))/FIRE目标,""))</f>
        <v/>
      </c>
      <c r="L8" s="39"/>
      <c r="M8" s="38"/>
    </row>
    <row r="9" ht="14.5" spans="1:13">
      <c r="A9" s="35">
        <v>46419</v>
      </c>
      <c r="B9" s="39"/>
      <c r="C9" s="39"/>
      <c r="D9" s="39"/>
      <c r="E9" s="39"/>
      <c r="F9" s="27" t="str">
        <f t="shared" si="0"/>
        <v/>
      </c>
      <c r="G9" s="39"/>
      <c r="H9" s="27" t="str">
        <f t="shared" si="1"/>
        <v/>
      </c>
      <c r="I9" s="27" t="str">
        <f t="shared" si="2"/>
        <v/>
      </c>
      <c r="J9" s="29" t="str">
        <f t="shared" si="3"/>
        <v/>
      </c>
      <c r="K9" s="29" t="str">
        <f>IF(F9="","",IFERROR((N(B9)+N(C9)+N(D9))/FIRE目标,""))</f>
        <v/>
      </c>
      <c r="L9" s="39"/>
      <c r="M9" s="38"/>
    </row>
    <row r="10" ht="14.5" spans="1:13">
      <c r="A10" s="35">
        <v>46447</v>
      </c>
      <c r="B10" s="39"/>
      <c r="C10" s="39"/>
      <c r="D10" s="39"/>
      <c r="E10" s="39"/>
      <c r="F10" s="27" t="str">
        <f t="shared" si="0"/>
        <v/>
      </c>
      <c r="G10" s="39"/>
      <c r="H10" s="27" t="str">
        <f t="shared" si="1"/>
        <v/>
      </c>
      <c r="I10" s="27" t="str">
        <f t="shared" si="2"/>
        <v/>
      </c>
      <c r="J10" s="29" t="str">
        <f t="shared" si="3"/>
        <v/>
      </c>
      <c r="K10" s="29" t="str">
        <f>IF(F10="","",IFERROR((N(B10)+N(C10)+N(D10))/FIRE目标,""))</f>
        <v/>
      </c>
      <c r="L10" s="39"/>
      <c r="M10" s="38"/>
    </row>
    <row r="11" ht="14.5" spans="1:13">
      <c r="A11" s="35">
        <v>46478</v>
      </c>
      <c r="B11" s="39"/>
      <c r="C11" s="39"/>
      <c r="D11" s="39"/>
      <c r="E11" s="39"/>
      <c r="F11" s="27" t="str">
        <f t="shared" si="0"/>
        <v/>
      </c>
      <c r="G11" s="39"/>
      <c r="H11" s="27" t="str">
        <f t="shared" si="1"/>
        <v/>
      </c>
      <c r="I11" s="27" t="str">
        <f t="shared" si="2"/>
        <v/>
      </c>
      <c r="J11" s="29" t="str">
        <f t="shared" si="3"/>
        <v/>
      </c>
      <c r="K11" s="29" t="str">
        <f>IF(F11="","",IFERROR((N(B11)+N(C11)+N(D11))/FIRE目标,""))</f>
        <v/>
      </c>
      <c r="L11" s="39"/>
      <c r="M11" s="38"/>
    </row>
    <row r="12" ht="14.5" spans="1:13">
      <c r="A12" s="35">
        <v>46508</v>
      </c>
      <c r="B12" s="39"/>
      <c r="C12" s="39"/>
      <c r="D12" s="39"/>
      <c r="E12" s="39"/>
      <c r="F12" s="27" t="str">
        <f t="shared" si="0"/>
        <v/>
      </c>
      <c r="G12" s="39"/>
      <c r="H12" s="27" t="str">
        <f t="shared" si="1"/>
        <v/>
      </c>
      <c r="I12" s="27" t="str">
        <f t="shared" si="2"/>
        <v/>
      </c>
      <c r="J12" s="29" t="str">
        <f t="shared" si="3"/>
        <v/>
      </c>
      <c r="K12" s="29" t="str">
        <f>IF(F12="","",IFERROR((N(B12)+N(C12)+N(D12))/FIRE目标,""))</f>
        <v/>
      </c>
      <c r="L12" s="39"/>
      <c r="M12" s="38"/>
    </row>
    <row r="13" ht="14.5" spans="1:13">
      <c r="A13" s="35">
        <v>46539</v>
      </c>
      <c r="B13" s="39"/>
      <c r="C13" s="39"/>
      <c r="D13" s="39"/>
      <c r="E13" s="39"/>
      <c r="F13" s="27" t="str">
        <f t="shared" si="0"/>
        <v/>
      </c>
      <c r="G13" s="39"/>
      <c r="H13" s="27" t="str">
        <f t="shared" si="1"/>
        <v/>
      </c>
      <c r="I13" s="27" t="str">
        <f t="shared" si="2"/>
        <v/>
      </c>
      <c r="J13" s="29" t="str">
        <f t="shared" si="3"/>
        <v/>
      </c>
      <c r="K13" s="29" t="str">
        <f>IF(F13="","",IFERROR((N(B13)+N(C13)+N(D13))/FIRE目标,""))</f>
        <v/>
      </c>
      <c r="L13" s="39"/>
      <c r="M13" s="38"/>
    </row>
    <row r="14" ht="14.5" spans="1:13">
      <c r="A14" s="35">
        <v>46569</v>
      </c>
      <c r="B14" s="39"/>
      <c r="C14" s="39"/>
      <c r="D14" s="39"/>
      <c r="E14" s="39"/>
      <c r="F14" s="27" t="str">
        <f t="shared" si="0"/>
        <v/>
      </c>
      <c r="G14" s="39"/>
      <c r="H14" s="27" t="str">
        <f t="shared" si="1"/>
        <v/>
      </c>
      <c r="I14" s="27" t="str">
        <f t="shared" si="2"/>
        <v/>
      </c>
      <c r="J14" s="29" t="str">
        <f t="shared" si="3"/>
        <v/>
      </c>
      <c r="K14" s="29" t="str">
        <f>IF(F14="","",IFERROR((N(B14)+N(C14)+N(D14))/FIRE目标,""))</f>
        <v/>
      </c>
      <c r="L14" s="39"/>
      <c r="M14" s="38"/>
    </row>
    <row r="15" ht="14.5" spans="1:13">
      <c r="A15" s="35">
        <v>46600</v>
      </c>
      <c r="B15" s="39"/>
      <c r="C15" s="39"/>
      <c r="D15" s="39"/>
      <c r="E15" s="39"/>
      <c r="F15" s="27" t="str">
        <f t="shared" si="0"/>
        <v/>
      </c>
      <c r="G15" s="39"/>
      <c r="H15" s="27" t="str">
        <f t="shared" si="1"/>
        <v/>
      </c>
      <c r="I15" s="27" t="str">
        <f t="shared" si="2"/>
        <v/>
      </c>
      <c r="J15" s="29" t="str">
        <f t="shared" si="3"/>
        <v/>
      </c>
      <c r="K15" s="29" t="str">
        <f>IF(F15="","",IFERROR((N(B15)+N(C15)+N(D15))/FIRE目标,""))</f>
        <v/>
      </c>
      <c r="L15" s="39"/>
      <c r="M15" s="38"/>
    </row>
    <row r="16" ht="14.5" spans="1:13">
      <c r="A16" s="35">
        <v>46631</v>
      </c>
      <c r="B16" s="39"/>
      <c r="C16" s="39"/>
      <c r="D16" s="39"/>
      <c r="E16" s="39"/>
      <c r="F16" s="27" t="str">
        <f t="shared" si="0"/>
        <v/>
      </c>
      <c r="G16" s="39"/>
      <c r="H16" s="27" t="str">
        <f t="shared" si="1"/>
        <v/>
      </c>
      <c r="I16" s="27" t="str">
        <f t="shared" si="2"/>
        <v/>
      </c>
      <c r="J16" s="29" t="str">
        <f t="shared" si="3"/>
        <v/>
      </c>
      <c r="K16" s="29" t="str">
        <f>IF(F16="","",IFERROR((N(B16)+N(C16)+N(D16))/FIRE目标,""))</f>
        <v/>
      </c>
      <c r="L16" s="39"/>
      <c r="M16" s="38"/>
    </row>
    <row r="17" ht="14.5" spans="1:13">
      <c r="A17" s="35">
        <v>46661</v>
      </c>
      <c r="B17" s="39"/>
      <c r="C17" s="39"/>
      <c r="D17" s="39"/>
      <c r="E17" s="39"/>
      <c r="F17" s="27" t="str">
        <f t="shared" si="0"/>
        <v/>
      </c>
      <c r="G17" s="39"/>
      <c r="H17" s="27" t="str">
        <f t="shared" si="1"/>
        <v/>
      </c>
      <c r="I17" s="27" t="str">
        <f t="shared" si="2"/>
        <v/>
      </c>
      <c r="J17" s="29" t="str">
        <f t="shared" si="3"/>
        <v/>
      </c>
      <c r="K17" s="29" t="str">
        <f>IF(F17="","",IFERROR((N(B17)+N(C17)+N(D17))/FIRE目标,""))</f>
        <v/>
      </c>
      <c r="L17" s="39"/>
      <c r="M17" s="38"/>
    </row>
    <row r="18" ht="14.5" spans="1:13">
      <c r="A18" s="35">
        <v>46692</v>
      </c>
      <c r="B18" s="39"/>
      <c r="C18" s="39"/>
      <c r="D18" s="39"/>
      <c r="E18" s="39"/>
      <c r="F18" s="27" t="str">
        <f t="shared" si="0"/>
        <v/>
      </c>
      <c r="G18" s="39"/>
      <c r="H18" s="27" t="str">
        <f t="shared" si="1"/>
        <v/>
      </c>
      <c r="I18" s="27" t="str">
        <f t="shared" si="2"/>
        <v/>
      </c>
      <c r="J18" s="29" t="str">
        <f t="shared" si="3"/>
        <v/>
      </c>
      <c r="K18" s="29" t="str">
        <f>IF(F18="","",IFERROR((N(B18)+N(C18)+N(D18))/FIRE目标,""))</f>
        <v/>
      </c>
      <c r="L18" s="39"/>
      <c r="M18" s="38"/>
    </row>
    <row r="19" ht="14.5" spans="1:13">
      <c r="A19" s="35">
        <v>46722</v>
      </c>
      <c r="B19" s="39"/>
      <c r="C19" s="39"/>
      <c r="D19" s="39"/>
      <c r="E19" s="39"/>
      <c r="F19" s="27" t="str">
        <f t="shared" si="0"/>
        <v/>
      </c>
      <c r="G19" s="39"/>
      <c r="H19" s="27" t="str">
        <f t="shared" si="1"/>
        <v/>
      </c>
      <c r="I19" s="27" t="str">
        <f t="shared" si="2"/>
        <v/>
      </c>
      <c r="J19" s="29" t="str">
        <f t="shared" si="3"/>
        <v/>
      </c>
      <c r="K19" s="29" t="str">
        <f>IF(F19="","",IFERROR((N(B19)+N(C19)+N(D19))/FIRE目标,""))</f>
        <v/>
      </c>
      <c r="L19" s="39"/>
      <c r="M19" s="38"/>
    </row>
    <row r="20" ht="14.5" spans="1:13">
      <c r="A20" s="35">
        <v>46753</v>
      </c>
      <c r="B20" s="39"/>
      <c r="C20" s="39"/>
      <c r="D20" s="39"/>
      <c r="E20" s="39"/>
      <c r="F20" s="27" t="str">
        <f t="shared" si="0"/>
        <v/>
      </c>
      <c r="G20" s="39"/>
      <c r="H20" s="27" t="str">
        <f t="shared" si="1"/>
        <v/>
      </c>
      <c r="I20" s="27" t="str">
        <f t="shared" si="2"/>
        <v/>
      </c>
      <c r="J20" s="29" t="str">
        <f t="shared" si="3"/>
        <v/>
      </c>
      <c r="K20" s="29" t="str">
        <f>IF(F20="","",IFERROR((N(B20)+N(C20)+N(D20))/FIRE目标,""))</f>
        <v/>
      </c>
      <c r="L20" s="39"/>
      <c r="M20" s="38"/>
    </row>
    <row r="21" ht="14.5" spans="1:13">
      <c r="A21" s="35">
        <v>46784</v>
      </c>
      <c r="B21" s="39"/>
      <c r="C21" s="39"/>
      <c r="D21" s="39"/>
      <c r="E21" s="39"/>
      <c r="F21" s="27" t="str">
        <f t="shared" si="0"/>
        <v/>
      </c>
      <c r="G21" s="39"/>
      <c r="H21" s="27" t="str">
        <f t="shared" si="1"/>
        <v/>
      </c>
      <c r="I21" s="27" t="str">
        <f t="shared" si="2"/>
        <v/>
      </c>
      <c r="J21" s="29" t="str">
        <f t="shared" si="3"/>
        <v/>
      </c>
      <c r="K21" s="29" t="str">
        <f>IF(F21="","",IFERROR((N(B21)+N(C21)+N(D21))/FIRE目标,""))</f>
        <v/>
      </c>
      <c r="L21" s="39"/>
      <c r="M21" s="38"/>
    </row>
    <row r="22" ht="14.5" spans="1:13">
      <c r="A22" s="35">
        <v>46813</v>
      </c>
      <c r="B22" s="39"/>
      <c r="C22" s="39"/>
      <c r="D22" s="39"/>
      <c r="E22" s="39"/>
      <c r="F22" s="27" t="str">
        <f t="shared" si="0"/>
        <v/>
      </c>
      <c r="G22" s="39"/>
      <c r="H22" s="27" t="str">
        <f t="shared" si="1"/>
        <v/>
      </c>
      <c r="I22" s="27" t="str">
        <f t="shared" si="2"/>
        <v/>
      </c>
      <c r="J22" s="29" t="str">
        <f t="shared" si="3"/>
        <v/>
      </c>
      <c r="K22" s="29" t="str">
        <f>IF(F22="","",IFERROR((N(B22)+N(C22)+N(D22))/FIRE目标,""))</f>
        <v/>
      </c>
      <c r="L22" s="39"/>
      <c r="M22" s="38"/>
    </row>
    <row r="23" ht="14.5" spans="1:13">
      <c r="A23" s="35">
        <v>46844</v>
      </c>
      <c r="B23" s="39"/>
      <c r="C23" s="39"/>
      <c r="D23" s="39"/>
      <c r="E23" s="39"/>
      <c r="F23" s="27" t="str">
        <f t="shared" si="0"/>
        <v/>
      </c>
      <c r="G23" s="39"/>
      <c r="H23" s="27" t="str">
        <f t="shared" si="1"/>
        <v/>
      </c>
      <c r="I23" s="27" t="str">
        <f t="shared" si="2"/>
        <v/>
      </c>
      <c r="J23" s="29" t="str">
        <f t="shared" si="3"/>
        <v/>
      </c>
      <c r="K23" s="29" t="str">
        <f>IF(F23="","",IFERROR((N(B23)+N(C23)+N(D23))/FIRE目标,""))</f>
        <v/>
      </c>
      <c r="L23" s="39"/>
      <c r="M23" s="38"/>
    </row>
    <row r="24" ht="14.5" spans="1:13">
      <c r="A24" s="35">
        <v>46874</v>
      </c>
      <c r="B24" s="39"/>
      <c r="C24" s="39"/>
      <c r="D24" s="39"/>
      <c r="E24" s="39"/>
      <c r="F24" s="27" t="str">
        <f t="shared" si="0"/>
        <v/>
      </c>
      <c r="G24" s="39"/>
      <c r="H24" s="27" t="str">
        <f t="shared" si="1"/>
        <v/>
      </c>
      <c r="I24" s="27" t="str">
        <f t="shared" si="2"/>
        <v/>
      </c>
      <c r="J24" s="29" t="str">
        <f t="shared" si="3"/>
        <v/>
      </c>
      <c r="K24" s="29" t="str">
        <f>IF(F24="","",IFERROR((N(B24)+N(C24)+N(D24))/FIRE目标,""))</f>
        <v/>
      </c>
      <c r="L24" s="39"/>
      <c r="M24" s="38"/>
    </row>
    <row r="25" ht="14.5" spans="1:13">
      <c r="A25" s="35">
        <v>46905</v>
      </c>
      <c r="B25" s="39"/>
      <c r="C25" s="39"/>
      <c r="D25" s="39"/>
      <c r="E25" s="39"/>
      <c r="F25" s="27" t="str">
        <f t="shared" si="0"/>
        <v/>
      </c>
      <c r="G25" s="39"/>
      <c r="H25" s="27" t="str">
        <f t="shared" si="1"/>
        <v/>
      </c>
      <c r="I25" s="27" t="str">
        <f t="shared" si="2"/>
        <v/>
      </c>
      <c r="J25" s="29" t="str">
        <f t="shared" si="3"/>
        <v/>
      </c>
      <c r="K25" s="29" t="str">
        <f>IF(F25="","",IFERROR((N(B25)+N(C25)+N(D25))/FIRE目标,""))</f>
        <v/>
      </c>
      <c r="L25" s="39"/>
      <c r="M25" s="38"/>
    </row>
    <row r="26" ht="14.5" spans="1:13">
      <c r="A26" s="35">
        <v>46935</v>
      </c>
      <c r="B26" s="39"/>
      <c r="C26" s="39"/>
      <c r="D26" s="39"/>
      <c r="E26" s="39"/>
      <c r="F26" s="27" t="str">
        <f t="shared" si="0"/>
        <v/>
      </c>
      <c r="G26" s="39"/>
      <c r="H26" s="27" t="str">
        <f t="shared" si="1"/>
        <v/>
      </c>
      <c r="I26" s="27" t="str">
        <f t="shared" si="2"/>
        <v/>
      </c>
      <c r="J26" s="29" t="str">
        <f t="shared" si="3"/>
        <v/>
      </c>
      <c r="K26" s="29" t="str">
        <f>IF(F26="","",IFERROR((N(B26)+N(C26)+N(D26))/FIRE目标,""))</f>
        <v/>
      </c>
      <c r="L26" s="39"/>
      <c r="M26" s="38"/>
    </row>
    <row r="27" ht="14.5" spans="1:13">
      <c r="A27" s="35">
        <v>46966</v>
      </c>
      <c r="B27" s="39"/>
      <c r="C27" s="39"/>
      <c r="D27" s="39"/>
      <c r="E27" s="39"/>
      <c r="F27" s="27" t="str">
        <f t="shared" si="0"/>
        <v/>
      </c>
      <c r="G27" s="39"/>
      <c r="H27" s="27" t="str">
        <f t="shared" si="1"/>
        <v/>
      </c>
      <c r="I27" s="27" t="str">
        <f t="shared" si="2"/>
        <v/>
      </c>
      <c r="J27" s="29" t="str">
        <f t="shared" si="3"/>
        <v/>
      </c>
      <c r="K27" s="29" t="str">
        <f>IF(F27="","",IFERROR((N(B27)+N(C27)+N(D27))/FIRE目标,""))</f>
        <v/>
      </c>
      <c r="L27" s="39"/>
      <c r="M27" s="38"/>
    </row>
    <row r="29" ht="28" customHeight="1" spans="1:13">
      <c r="A29" s="26" t="s">
        <v>21</v>
      </c>
      <c r="B29" s="40" t="s">
        <v>335</v>
      </c>
    </row>
  </sheetData>
  <mergeCells count="3">
    <mergeCell ref="A1:M1"/>
    <mergeCell ref="A2:M2"/>
    <mergeCell ref="B29:M29"/>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I108"/>
  <sheetViews>
    <sheetView workbookViewId="0">
      <pane ySplit="3" topLeftCell="A4" activePane="bottomLeft" state="frozen"/>
      <selection/>
      <selection pane="bottomLeft" activeCell="E11" sqref="E11"/>
    </sheetView>
  </sheetViews>
  <sheetFormatPr defaultColWidth="9" defaultRowHeight="14"/>
  <cols>
    <col min="1" max="1" width="24" customWidth="1"/>
    <col min="2" max="2" width="16" customWidth="1"/>
    <col min="3" max="3" width="12" customWidth="1"/>
    <col min="4" max="4" width="46" customWidth="1"/>
    <col min="5" max="6" width="16" customWidth="1"/>
    <col min="7" max="7" width="18" customWidth="1"/>
    <col min="8" max="8" width="16" customWidth="1"/>
  </cols>
  <sheetData>
    <row r="1" ht="26" customHeight="1" spans="1:4">
      <c r="A1" s="1" t="s">
        <v>336</v>
      </c>
    </row>
    <row r="2" ht="16" customHeight="1" spans="1:4">
      <c r="A2" s="2" t="s">
        <v>337</v>
      </c>
    </row>
    <row r="3" ht="20" customHeight="1" spans="1:4">
      <c r="A3" s="3" t="s">
        <v>338</v>
      </c>
    </row>
    <row r="4" ht="30" customHeight="1" spans="1:4">
      <c r="A4" s="7" t="s">
        <v>339</v>
      </c>
      <c r="B4" s="7" t="s">
        <v>20</v>
      </c>
      <c r="C4" s="7" t="s">
        <v>340</v>
      </c>
      <c r="D4" s="7" t="s">
        <v>21</v>
      </c>
    </row>
    <row r="5" ht="14.5" spans="1:4">
      <c r="A5" s="8" t="s">
        <v>341</v>
      </c>
      <c r="B5" s="9">
        <v>46</v>
      </c>
      <c r="C5" s="10" t="s">
        <v>342</v>
      </c>
      <c r="D5" s="11" t="s">
        <v>343</v>
      </c>
    </row>
    <row r="6" ht="14.5" spans="1:4">
      <c r="A6" s="8" t="s">
        <v>24</v>
      </c>
      <c r="B6" s="12">
        <v>0.04</v>
      </c>
      <c r="C6" s="10" t="s">
        <v>344</v>
      </c>
      <c r="D6" s="11" t="s">
        <v>345</v>
      </c>
    </row>
    <row r="7" ht="14.5" spans="1:4">
      <c r="A7" s="8" t="s">
        <v>346</v>
      </c>
      <c r="B7" s="12">
        <v>0.07</v>
      </c>
      <c r="C7" s="10" t="s">
        <v>344</v>
      </c>
      <c r="D7" s="11" t="s">
        <v>347</v>
      </c>
    </row>
    <row r="8" ht="14.5" spans="1:4">
      <c r="A8" s="8" t="s">
        <v>348</v>
      </c>
      <c r="B8" s="12">
        <v>0.025</v>
      </c>
      <c r="C8" s="10" t="s">
        <v>344</v>
      </c>
      <c r="D8" s="11" t="s">
        <v>349</v>
      </c>
    </row>
    <row r="9" ht="14.5" spans="1:4">
      <c r="A9" s="8" t="s">
        <v>350</v>
      </c>
      <c r="B9" s="13">
        <v>500000</v>
      </c>
      <c r="C9" s="10" t="s">
        <v>351</v>
      </c>
      <c r="D9" s="11" t="s">
        <v>352</v>
      </c>
    </row>
    <row r="10" ht="14.5" spans="1:4">
      <c r="A10" s="8" t="s">
        <v>353</v>
      </c>
      <c r="B10" s="13">
        <v>400000</v>
      </c>
      <c r="C10" s="10" t="s">
        <v>351</v>
      </c>
      <c r="D10" s="11" t="s">
        <v>352</v>
      </c>
    </row>
    <row r="11" ht="39" spans="1:4">
      <c r="A11" s="8" t="s">
        <v>354</v>
      </c>
      <c r="B11" s="14" t="s">
        <v>355</v>
      </c>
      <c r="C11" s="10" t="s">
        <v>356</v>
      </c>
      <c r="D11" s="11" t="s">
        <v>357</v>
      </c>
    </row>
    <row r="12" ht="14.5" spans="1:4">
      <c r="A12" s="15" t="s">
        <v>358</v>
      </c>
      <c r="B12" s="16">
        <f>收支记账!B40</f>
        <v>0</v>
      </c>
      <c r="C12" s="10" t="s">
        <v>351</v>
      </c>
      <c r="D12" s="11" t="s">
        <v>359</v>
      </c>
    </row>
    <row r="13" ht="14.5" spans="1:4">
      <c r="A13" s="15" t="s">
        <v>360</v>
      </c>
      <c r="B13" s="16">
        <f>收支记账!B43</f>
        <v>0</v>
      </c>
      <c r="C13" s="10" t="s">
        <v>351</v>
      </c>
      <c r="D13" s="11" t="s">
        <v>361</v>
      </c>
    </row>
    <row r="14" ht="14.5" spans="1:4">
      <c r="A14" s="15" t="s">
        <v>362</v>
      </c>
      <c r="B14" s="17">
        <f>IF(B12&gt;0,B12,B9)</f>
        <v>500000</v>
      </c>
      <c r="C14" s="10" t="s">
        <v>351</v>
      </c>
      <c r="D14" s="11" t="s">
        <v>363</v>
      </c>
    </row>
    <row r="15" ht="14.5" spans="1:4">
      <c r="A15" s="15" t="s">
        <v>364</v>
      </c>
      <c r="B15" s="17">
        <f>IF(B13&gt;0,B13,B10)</f>
        <v>400000</v>
      </c>
      <c r="C15" s="10" t="s">
        <v>351</v>
      </c>
      <c r="D15" s="11" t="s">
        <v>365</v>
      </c>
    </row>
    <row r="16" ht="14.5" spans="1:4">
      <c r="A16" s="8" t="s">
        <v>366</v>
      </c>
      <c r="B16" s="9">
        <v>60</v>
      </c>
      <c r="C16" s="10" t="s">
        <v>342</v>
      </c>
      <c r="D16" s="11" t="s">
        <v>367</v>
      </c>
    </row>
    <row r="17" ht="14.5" spans="1:4">
      <c r="A17" s="8" t="s">
        <v>368</v>
      </c>
      <c r="B17" s="13">
        <v>15000</v>
      </c>
      <c r="C17" s="10" t="s">
        <v>351</v>
      </c>
      <c r="D17" s="11" t="s">
        <v>369</v>
      </c>
    </row>
    <row r="18" ht="14.5" spans="1:4">
      <c r="A18" s="15" t="s">
        <v>370</v>
      </c>
      <c r="B18" s="17">
        <f>B17*11.866</f>
        <v>177990</v>
      </c>
      <c r="C18" s="10" t="s">
        <v>351</v>
      </c>
      <c r="D18" s="11" t="s">
        <v>371</v>
      </c>
    </row>
    <row r="19" ht="14.5" spans="1:4">
      <c r="A19" s="8" t="s">
        <v>372</v>
      </c>
      <c r="B19" s="14" t="s">
        <v>373</v>
      </c>
      <c r="C19" s="10" t="s">
        <v>356</v>
      </c>
      <c r="D19" s="11" t="s">
        <v>374</v>
      </c>
    </row>
    <row r="20" ht="20" customHeight="1" spans="1:4">
      <c r="A20" s="3" t="s">
        <v>375</v>
      </c>
    </row>
    <row r="21" ht="14.5" spans="1:4">
      <c r="A21" s="8" t="s">
        <v>26</v>
      </c>
      <c r="B21" s="17">
        <f>IF(B6=0,"",B14/B6)</f>
        <v>12500000</v>
      </c>
      <c r="C21" s="15" t="s">
        <v>13</v>
      </c>
      <c r="D21" s="11" t="s">
        <v>376</v>
      </c>
    </row>
    <row r="22" ht="14.5" spans="1:4">
      <c r="A22" s="8" t="s">
        <v>377</v>
      </c>
      <c r="B22" s="18">
        <f>资产明细!G8</f>
        <v>1553000</v>
      </c>
      <c r="C22" s="15" t="s">
        <v>13</v>
      </c>
      <c r="D22" s="11" t="s">
        <v>378</v>
      </c>
    </row>
    <row r="23" ht="14.5" spans="1:4">
      <c r="A23" s="8" t="s">
        <v>379</v>
      </c>
      <c r="B23" s="18">
        <f>资产明细!G13</f>
        <v>5326364.26</v>
      </c>
      <c r="C23" s="15" t="s">
        <v>13</v>
      </c>
      <c r="D23" s="11" t="s">
        <v>13</v>
      </c>
    </row>
    <row r="24" ht="14.5" spans="1:4">
      <c r="A24" s="8" t="s">
        <v>380</v>
      </c>
      <c r="B24" s="18">
        <f>资产明细!G17</f>
        <v>2354000</v>
      </c>
      <c r="C24" s="15" t="s">
        <v>13</v>
      </c>
      <c r="D24" s="11" t="s">
        <v>13</v>
      </c>
    </row>
    <row r="25" ht="14.5" spans="1:4">
      <c r="A25" s="8" t="s">
        <v>381</v>
      </c>
      <c r="B25" s="18">
        <f>资产明细!G22</f>
        <v>1899138.36</v>
      </c>
      <c r="C25" s="15" t="s">
        <v>13</v>
      </c>
      <c r="D25" s="11" t="s">
        <v>382</v>
      </c>
    </row>
    <row r="26" ht="14.5" spans="1:4">
      <c r="A26" s="8" t="s">
        <v>383</v>
      </c>
      <c r="B26" s="17">
        <f>IF(B11="是",B22+B23+B24+B26,B22+B23+B24)</f>
        <v>9233364.26</v>
      </c>
      <c r="C26" s="15" t="s">
        <v>13</v>
      </c>
      <c r="D26" s="11" t="s">
        <v>384</v>
      </c>
    </row>
    <row r="27" ht="14.5" spans="1:4">
      <c r="A27" s="8" t="s">
        <v>385</v>
      </c>
      <c r="B27" s="18">
        <f>资产明细!G25</f>
        <v>1600567.28</v>
      </c>
      <c r="C27" s="15" t="s">
        <v>13</v>
      </c>
      <c r="D27" s="11" t="s">
        <v>386</v>
      </c>
    </row>
    <row r="28" ht="14.5" spans="1:4">
      <c r="A28" s="8" t="s">
        <v>387</v>
      </c>
      <c r="B28" s="19">
        <f>IFERROR(B26/B21,"")</f>
        <v>0.7386691408</v>
      </c>
      <c r="C28" s="15" t="s">
        <v>13</v>
      </c>
      <c r="D28" s="11" t="s">
        <v>388</v>
      </c>
    </row>
    <row r="29" ht="26" spans="1:4">
      <c r="A29" s="8" t="s">
        <v>389</v>
      </c>
      <c r="B29" s="19">
        <f>IFERROR((B26*B6+B18)/B14,"")</f>
        <v>1.0946491408</v>
      </c>
      <c r="C29" s="15" t="s">
        <v>13</v>
      </c>
      <c r="D29" s="11" t="s">
        <v>390</v>
      </c>
    </row>
    <row r="30" ht="14.5" spans="1:4">
      <c r="A30" s="8" t="s">
        <v>32</v>
      </c>
      <c r="B30" s="17">
        <f>MAX(B21-B26,0)</f>
        <v>3266635.74</v>
      </c>
      <c r="C30" s="15" t="s">
        <v>13</v>
      </c>
      <c r="D30" s="11" t="s">
        <v>391</v>
      </c>
    </row>
    <row r="31" ht="14.5" spans="1:4">
      <c r="A31" s="8" t="s">
        <v>36</v>
      </c>
      <c r="B31" s="20" t="str">
        <f>IF(B14=0,"待填写年支出",IF(B29&gt;=1,"已达成财务自由",IF(B29&gt;=0.7,"接近达成（现金流入覆盖70%以上）","积累中")))</f>
        <v>已达成财务自由</v>
      </c>
      <c r="C31" s="15" t="s">
        <v>13</v>
      </c>
      <c r="D31" s="11" t="s">
        <v>392</v>
      </c>
    </row>
    <row r="33" ht="20" customHeight="1" spans="1:4">
      <c r="A33" s="3" t="s">
        <v>393</v>
      </c>
    </row>
    <row r="34" ht="14.5" spans="1:4">
      <c r="A34" s="8" t="s">
        <v>394</v>
      </c>
      <c r="B34" s="17">
        <f>IFERROR(B14*(1-(1+((1+B7)/(1+B8)-1))^-($B$16-$B$5))/(((1+B7)/(1+B8)-1)),"")</f>
        <v>5148055.56553613</v>
      </c>
      <c r="C34" s="15" t="s">
        <v>13</v>
      </c>
      <c r="D34" s="11" t="s">
        <v>395</v>
      </c>
    </row>
    <row r="35" ht="14.5" spans="1:4">
      <c r="A35" s="8" t="s">
        <v>396</v>
      </c>
      <c r="B35" s="17">
        <f>MAX(B14-B18,0)</f>
        <v>322010</v>
      </c>
      <c r="C35" s="15" t="s">
        <v>13</v>
      </c>
      <c r="D35" s="11" t="s">
        <v>397</v>
      </c>
    </row>
    <row r="36" ht="14.5" spans="1:4">
      <c r="A36" s="8" t="s">
        <v>398</v>
      </c>
      <c r="B36" s="17">
        <f>IF(B6=0,"",B35/B6)</f>
        <v>8050250</v>
      </c>
      <c r="C36" s="15" t="s">
        <v>13</v>
      </c>
      <c r="D36" s="11" t="s">
        <v>399</v>
      </c>
    </row>
    <row r="37" ht="14.5" spans="1:4">
      <c r="A37" s="8" t="s">
        <v>400</v>
      </c>
      <c r="B37" s="17">
        <f>IFERROR(B36/(1+((1+B7)/(1+B8)-1))^($B$16-$B$5),"")</f>
        <v>4411340.64538423</v>
      </c>
      <c r="C37" s="15" t="s">
        <v>13</v>
      </c>
      <c r="D37" s="11" t="s">
        <v>401</v>
      </c>
    </row>
    <row r="38" ht="14.5" spans="1:4">
      <c r="A38" s="8" t="s">
        <v>402</v>
      </c>
      <c r="B38" s="17">
        <f>IFERROR(B34+B37,"")</f>
        <v>9559396.21092035</v>
      </c>
      <c r="C38" s="15" t="s">
        <v>13</v>
      </c>
      <c r="D38" s="11" t="s">
        <v>403</v>
      </c>
    </row>
    <row r="39" ht="14.5" spans="1:4">
      <c r="A39" s="8" t="s">
        <v>404</v>
      </c>
      <c r="B39" s="17">
        <f>B21-B38</f>
        <v>2940603.78907965</v>
      </c>
      <c r="C39" s="15" t="s">
        <v>13</v>
      </c>
      <c r="D39" s="11" t="s">
        <v>405</v>
      </c>
    </row>
    <row r="40" ht="14.5" spans="1:4">
      <c r="A40" s="8" t="s">
        <v>406</v>
      </c>
      <c r="B40" s="19">
        <f>IFERROR(B26/B38,"")</f>
        <v>0.965894085387119</v>
      </c>
      <c r="C40" s="15" t="s">
        <v>13</v>
      </c>
      <c r="D40" s="11" t="s">
        <v>407</v>
      </c>
    </row>
    <row r="41" ht="20" customHeight="1" spans="1:4">
      <c r="A41" s="3" t="s">
        <v>408</v>
      </c>
    </row>
    <row r="42" ht="14.5" spans="1:4">
      <c r="A42" s="8" t="s">
        <v>409</v>
      </c>
      <c r="B42" s="21">
        <f>IFERROR((1+B7)/(1+B8)-1,"")</f>
        <v>0.0439024390243905</v>
      </c>
      <c r="C42" s="15" t="s">
        <v>13</v>
      </c>
      <c r="D42" s="11" t="s">
        <v>410</v>
      </c>
    </row>
    <row r="43" ht="14.5" spans="1:4">
      <c r="A43" s="8" t="s">
        <v>411</v>
      </c>
      <c r="B43" s="22">
        <f>IF(B14=0,"",IF(B26&gt;=B21,0,IFERROR(NPER(B42,-B15,-B26,B21),99)))</f>
        <v>3.81415513153374</v>
      </c>
      <c r="C43" s="15" t="s">
        <v>13</v>
      </c>
      <c r="D43" s="11" t="s">
        <v>412</v>
      </c>
    </row>
    <row r="44" ht="14.5" spans="1:4">
      <c r="A44" s="8" t="s">
        <v>34</v>
      </c>
      <c r="B44" s="23">
        <f ca="1">IF(OR(B43="",B43&gt;60),"",EDATE(TODAY(),ROUND(B43*12,0)))</f>
        <v>47679</v>
      </c>
      <c r="C44" s="15" t="s">
        <v>13</v>
      </c>
      <c r="D44" s="11" t="s">
        <v>413</v>
      </c>
    </row>
    <row r="45" ht="14.5" spans="1:4">
      <c r="A45" s="8" t="s">
        <v>414</v>
      </c>
      <c r="B45" s="24">
        <f ca="1">IF(B44="","",YEAR(B44))</f>
        <v>2030</v>
      </c>
      <c r="C45" s="15" t="s">
        <v>13</v>
      </c>
      <c r="D45" s="11" t="s">
        <v>13</v>
      </c>
    </row>
    <row r="46" ht="14.5" spans="1:4">
      <c r="A46" s="8" t="s">
        <v>415</v>
      </c>
      <c r="B46" s="25" t="str">
        <f>IF(B43="","",IF(B43=0,"已达成｜可在任意时点退出",TEXT(B5+B43,"0.0")&amp;" 岁"))</f>
        <v>49.8 岁</v>
      </c>
      <c r="C46" s="15" t="s">
        <v>13</v>
      </c>
      <c r="D46" s="11" t="s">
        <v>416</v>
      </c>
    </row>
    <row r="48" ht="20" customHeight="1" spans="1:4">
      <c r="A48" s="3" t="s">
        <v>417</v>
      </c>
    </row>
    <row r="49" ht="30" customHeight="1" spans="1:9">
      <c r="A49" s="7" t="s">
        <v>418</v>
      </c>
      <c r="B49" s="7" t="s">
        <v>419</v>
      </c>
      <c r="C49" s="7" t="s">
        <v>420</v>
      </c>
      <c r="D49" s="7" t="s">
        <v>421</v>
      </c>
      <c r="E49" s="7" t="s">
        <v>422</v>
      </c>
      <c r="F49" s="7" t="s">
        <v>423</v>
      </c>
      <c r="G49" s="7" t="s">
        <v>424</v>
      </c>
    </row>
    <row r="50" ht="14.5" spans="1:9">
      <c r="A50" s="26" t="s">
        <v>425</v>
      </c>
      <c r="B50" s="27">
        <f>IF(B14=0,"",B14/0.05)</f>
        <v>10000000</v>
      </c>
      <c r="C50" s="27">
        <f>IFERROR(B34+MAX(B14-B18,0)/0.05/(1+((1+B7)/(1+B8)-1))^($B$16-$B$5),"")</f>
        <v>8677128.0818435</v>
      </c>
      <c r="D50" s="28">
        <f>IF(B14=0,"",B50/B14)</f>
        <v>20</v>
      </c>
      <c r="E50" s="29">
        <f>IFERROR(B26/B50,"")</f>
        <v>0.923336426</v>
      </c>
      <c r="F50" s="30">
        <f>IFERROR(B26/C50,"")</f>
        <v>1.06410371875464</v>
      </c>
      <c r="G50" s="31" t="str">
        <f>IF(B14=0,"",IF(B26&gt;=C50,"已达成","未达成"))</f>
        <v>已达成</v>
      </c>
    </row>
    <row r="51" ht="14.5" spans="1:9">
      <c r="A51" s="26" t="s">
        <v>426</v>
      </c>
      <c r="B51" s="27">
        <f>IF(B14=0,"",B14/0.04)</f>
        <v>12500000</v>
      </c>
      <c r="C51" s="27">
        <f>IFERROR(B34+MAX(B14-B18,0)/0.04/(1+((1+B7)/(1+B8)-1))^($B$16-$B$5),"")</f>
        <v>9559396.21092035</v>
      </c>
      <c r="D51" s="28">
        <f>IF(B14=0,"",B51/B14)</f>
        <v>25</v>
      </c>
      <c r="E51" s="29">
        <f>IFERROR(B26/B51,"")</f>
        <v>0.7386691408</v>
      </c>
      <c r="F51" s="30">
        <f>IFERROR(B26/C51,"")</f>
        <v>0.965894085387119</v>
      </c>
      <c r="G51" s="31" t="str">
        <f>IF(B14=0,"",IF(B26&gt;=C51,"已达成","未达成"))</f>
        <v>未达成</v>
      </c>
    </row>
    <row r="52" ht="14.5" spans="1:9">
      <c r="A52" s="26" t="s">
        <v>427</v>
      </c>
      <c r="B52" s="27">
        <f>IF(B14=0,"",B14/0.03)</f>
        <v>16666666.6666667</v>
      </c>
      <c r="C52" s="27">
        <f>IFERROR(B34+MAX(B14-B18,0)/0.03/(1+((1+B7)/(1+B8)-1))^($B$16-$B$5),"")</f>
        <v>11029843.0927151</v>
      </c>
      <c r="D52" s="28">
        <f>IF(B14=0,"",B52/B14)</f>
        <v>33.3333333333333</v>
      </c>
      <c r="E52" s="29">
        <f>IFERROR(B26/B52,"")</f>
        <v>0.554001855599999</v>
      </c>
      <c r="F52" s="30">
        <f>IFERROR(B26/C52,"")</f>
        <v>0.83712562204066</v>
      </c>
      <c r="G52" s="31" t="str">
        <f>IF(B14=0,"",IF(B26&gt;=C52,"已达成","未达成"))</f>
        <v>未达成</v>
      </c>
    </row>
    <row r="53" ht="20" customHeight="1" spans="1:9">
      <c r="A53" s="3" t="s">
        <v>428</v>
      </c>
    </row>
    <row r="54" ht="30" customHeight="1" spans="1:9">
      <c r="A54" s="7" t="s">
        <v>429</v>
      </c>
      <c r="B54" s="7" t="s">
        <v>163</v>
      </c>
      <c r="C54" s="7" t="s">
        <v>162</v>
      </c>
      <c r="D54" s="7" t="s">
        <v>430</v>
      </c>
      <c r="E54" s="7" t="s">
        <v>431</v>
      </c>
      <c r="F54" s="7" t="s">
        <v>432</v>
      </c>
      <c r="G54" s="7" t="s">
        <v>433</v>
      </c>
      <c r="H54" s="7" t="s">
        <v>434</v>
      </c>
      <c r="I54" s="7" t="s">
        <v>435</v>
      </c>
    </row>
    <row r="55" ht="14.5" spans="1:9">
      <c r="A55" s="32">
        <v>1</v>
      </c>
      <c r="B55" s="32">
        <f ca="1" t="shared" ref="B55:B108" si="0">YEAR(TODAY())+A55-1</f>
        <v>2026</v>
      </c>
      <c r="C55" s="32">
        <f t="shared" ref="C55:C108" si="1">$B$5+A55</f>
        <v>47</v>
      </c>
      <c r="D55" s="33" t="str">
        <f t="shared" ref="D55:D108" si="2">IF(C55&lt;$B$16,"积累期","领取期")</f>
        <v>积累期</v>
      </c>
      <c r="E55" s="27">
        <f>$B$26</f>
        <v>9233364.26</v>
      </c>
      <c r="F55" s="34">
        <f t="shared" ref="F55:F108" si="3">IF(C55&lt;$B$16,$B$15,$B$18-$B$14)</f>
        <v>400000</v>
      </c>
      <c r="G55" s="27">
        <f>E55*((1+B7)/(1+B8)-1)</f>
        <v>405367.211414637</v>
      </c>
      <c r="H55" s="27">
        <f t="shared" ref="H55:H108" si="4">E55+F55+G55</f>
        <v>10038731.4714146</v>
      </c>
      <c r="I55" s="33" t="str">
        <f t="shared" ref="I55:I108" si="5">IF($B$21="","",IF(H55&gt;=$B$21,"已达成","未达成"))</f>
        <v>未达成</v>
      </c>
    </row>
    <row r="56" ht="14.5" spans="1:9">
      <c r="A56" s="32">
        <v>2</v>
      </c>
      <c r="B56" s="32">
        <f ca="1" t="shared" si="0"/>
        <v>2027</v>
      </c>
      <c r="C56" s="32">
        <f t="shared" si="1"/>
        <v>48</v>
      </c>
      <c r="D56" s="33" t="str">
        <f t="shared" si="2"/>
        <v>积累期</v>
      </c>
      <c r="E56" s="27">
        <f t="shared" ref="E56:E108" si="6">H55</f>
        <v>10038731.4714146</v>
      </c>
      <c r="F56" s="34">
        <f t="shared" si="3"/>
        <v>400000</v>
      </c>
      <c r="G56" s="27">
        <f>E56*((1+B7)/(1+B8)-1)</f>
        <v>440724.796306011</v>
      </c>
      <c r="H56" s="27">
        <f t="shared" si="4"/>
        <v>10879456.2677206</v>
      </c>
      <c r="I56" s="33" t="str">
        <f t="shared" si="5"/>
        <v>未达成</v>
      </c>
    </row>
    <row r="57" ht="14.5" spans="1:9">
      <c r="A57" s="32">
        <v>3</v>
      </c>
      <c r="B57" s="32">
        <f ca="1" t="shared" si="0"/>
        <v>2028</v>
      </c>
      <c r="C57" s="32">
        <f t="shared" si="1"/>
        <v>49</v>
      </c>
      <c r="D57" s="33" t="str">
        <f t="shared" si="2"/>
        <v>积累期</v>
      </c>
      <c r="E57" s="27">
        <f t="shared" si="6"/>
        <v>10879456.2677206</v>
      </c>
      <c r="F57" s="34">
        <f t="shared" si="3"/>
        <v>400000</v>
      </c>
      <c r="G57" s="27">
        <f>E57*((1+B7)/(1+B8)-1)</f>
        <v>477634.665412129</v>
      </c>
      <c r="H57" s="27">
        <f t="shared" si="4"/>
        <v>11757090.9331328</v>
      </c>
      <c r="I57" s="33" t="str">
        <f t="shared" si="5"/>
        <v>未达成</v>
      </c>
    </row>
    <row r="58" ht="14.5" spans="1:9">
      <c r="A58" s="32">
        <v>4</v>
      </c>
      <c r="B58" s="32">
        <f ca="1" t="shared" si="0"/>
        <v>2029</v>
      </c>
      <c r="C58" s="32">
        <f t="shared" si="1"/>
        <v>50</v>
      </c>
      <c r="D58" s="33" t="str">
        <f t="shared" si="2"/>
        <v>积累期</v>
      </c>
      <c r="E58" s="27">
        <f t="shared" si="6"/>
        <v>11757090.9331328</v>
      </c>
      <c r="F58" s="34">
        <f t="shared" si="3"/>
        <v>400000</v>
      </c>
      <c r="G58" s="27">
        <f>E58*((1+B7)/(1+B8)-1)</f>
        <v>516164.967796076</v>
      </c>
      <c r="H58" s="27">
        <f t="shared" si="4"/>
        <v>12673255.9009289</v>
      </c>
      <c r="I58" s="33" t="str">
        <f t="shared" si="5"/>
        <v>已达成</v>
      </c>
    </row>
    <row r="59" ht="14.5" spans="1:9">
      <c r="A59" s="32">
        <v>5</v>
      </c>
      <c r="B59" s="32">
        <f ca="1" t="shared" si="0"/>
        <v>2030</v>
      </c>
      <c r="C59" s="32">
        <f t="shared" si="1"/>
        <v>51</v>
      </c>
      <c r="D59" s="33" t="str">
        <f t="shared" si="2"/>
        <v>积累期</v>
      </c>
      <c r="E59" s="27">
        <f t="shared" si="6"/>
        <v>12673255.9009289</v>
      </c>
      <c r="F59" s="34">
        <f t="shared" si="3"/>
        <v>400000</v>
      </c>
      <c r="G59" s="27">
        <f>E59*((1+B7)/(1+B8)-1)</f>
        <v>556386.844431026</v>
      </c>
      <c r="H59" s="27">
        <f t="shared" si="4"/>
        <v>13629642.7453599</v>
      </c>
      <c r="I59" s="33" t="str">
        <f t="shared" si="5"/>
        <v>已达成</v>
      </c>
    </row>
    <row r="60" ht="14.5" spans="1:9">
      <c r="A60" s="32">
        <v>6</v>
      </c>
      <c r="B60" s="32">
        <f ca="1" t="shared" si="0"/>
        <v>2031</v>
      </c>
      <c r="C60" s="32">
        <f t="shared" si="1"/>
        <v>52</v>
      </c>
      <c r="D60" s="33" t="str">
        <f t="shared" si="2"/>
        <v>积累期</v>
      </c>
      <c r="E60" s="27">
        <f t="shared" si="6"/>
        <v>13629642.7453599</v>
      </c>
      <c r="F60" s="34">
        <f t="shared" si="3"/>
        <v>400000</v>
      </c>
      <c r="G60" s="27">
        <f>E60*((1+B7)/(1+B8)-1)</f>
        <v>598374.559552388</v>
      </c>
      <c r="H60" s="27">
        <f t="shared" si="4"/>
        <v>14628017.3049123</v>
      </c>
      <c r="I60" s="33" t="str">
        <f t="shared" si="5"/>
        <v>已达成</v>
      </c>
    </row>
    <row r="61" ht="14.5" spans="1:9">
      <c r="A61" s="32">
        <v>7</v>
      </c>
      <c r="B61" s="32">
        <f ca="1" t="shared" si="0"/>
        <v>2032</v>
      </c>
      <c r="C61" s="32">
        <f t="shared" si="1"/>
        <v>53</v>
      </c>
      <c r="D61" s="33" t="str">
        <f t="shared" si="2"/>
        <v>积累期</v>
      </c>
      <c r="E61" s="27">
        <f t="shared" si="6"/>
        <v>14628017.3049123</v>
      </c>
      <c r="F61" s="34">
        <f t="shared" si="3"/>
        <v>400000</v>
      </c>
      <c r="G61" s="27">
        <f>E61*((1+B7)/(1+B8)-1)</f>
        <v>642205.63777664</v>
      </c>
      <c r="H61" s="27">
        <f t="shared" si="4"/>
        <v>15670222.9426889</v>
      </c>
      <c r="I61" s="33" t="str">
        <f t="shared" si="5"/>
        <v>已达成</v>
      </c>
    </row>
    <row r="62" ht="14.5" spans="1:9">
      <c r="A62" s="32">
        <v>8</v>
      </c>
      <c r="B62" s="32">
        <f ca="1" t="shared" si="0"/>
        <v>2033</v>
      </c>
      <c r="C62" s="32">
        <f t="shared" si="1"/>
        <v>54</v>
      </c>
      <c r="D62" s="33" t="str">
        <f t="shared" si="2"/>
        <v>积累期</v>
      </c>
      <c r="E62" s="27">
        <f t="shared" si="6"/>
        <v>15670222.9426889</v>
      </c>
      <c r="F62" s="34">
        <f t="shared" si="3"/>
        <v>400000</v>
      </c>
      <c r="G62" s="27">
        <f>E62*((1+B7)/(1+B8)-1)</f>
        <v>687961.007240005</v>
      </c>
      <c r="H62" s="27">
        <f t="shared" si="4"/>
        <v>16758183.9499289</v>
      </c>
      <c r="I62" s="33" t="str">
        <f t="shared" si="5"/>
        <v>已达成</v>
      </c>
    </row>
    <row r="63" ht="14.5" spans="1:9">
      <c r="A63" s="32">
        <v>9</v>
      </c>
      <c r="B63" s="32">
        <f ca="1" t="shared" si="0"/>
        <v>2034</v>
      </c>
      <c r="C63" s="32">
        <f t="shared" si="1"/>
        <v>55</v>
      </c>
      <c r="D63" s="33" t="str">
        <f t="shared" si="2"/>
        <v>积累期</v>
      </c>
      <c r="E63" s="27">
        <f t="shared" si="6"/>
        <v>16758183.9499289</v>
      </c>
      <c r="F63" s="34">
        <f t="shared" si="3"/>
        <v>400000</v>
      </c>
      <c r="G63" s="27">
        <f>E63*((1+B7)/(1+B8)-1)</f>
        <v>735725.149021274</v>
      </c>
      <c r="H63" s="27">
        <f t="shared" si="4"/>
        <v>17893909.0989502</v>
      </c>
      <c r="I63" s="33" t="str">
        <f t="shared" si="5"/>
        <v>已达成</v>
      </c>
    </row>
    <row r="64" ht="14.5" spans="1:9">
      <c r="A64" s="32">
        <v>10</v>
      </c>
      <c r="B64" s="32">
        <f ca="1" t="shared" si="0"/>
        <v>2035</v>
      </c>
      <c r="C64" s="32">
        <f t="shared" si="1"/>
        <v>56</v>
      </c>
      <c r="D64" s="33" t="str">
        <f t="shared" si="2"/>
        <v>积累期</v>
      </c>
      <c r="E64" s="27">
        <f t="shared" si="6"/>
        <v>17893909.0989502</v>
      </c>
      <c r="F64" s="34">
        <f t="shared" si="3"/>
        <v>400000</v>
      </c>
      <c r="G64" s="27">
        <f>E64*((1+B7)/(1+B8)-1)</f>
        <v>785586.253124647</v>
      </c>
      <c r="H64" s="27">
        <f t="shared" si="4"/>
        <v>19079495.3520748</v>
      </c>
      <c r="I64" s="33" t="str">
        <f t="shared" si="5"/>
        <v>已达成</v>
      </c>
    </row>
    <row r="65" ht="14.5" spans="1:9">
      <c r="A65" s="32">
        <v>11</v>
      </c>
      <c r="B65" s="32">
        <f ca="1" t="shared" si="0"/>
        <v>2036</v>
      </c>
      <c r="C65" s="32">
        <f t="shared" si="1"/>
        <v>57</v>
      </c>
      <c r="D65" s="33" t="str">
        <f t="shared" si="2"/>
        <v>积累期</v>
      </c>
      <c r="E65" s="27">
        <f t="shared" si="6"/>
        <v>19079495.3520748</v>
      </c>
      <c r="F65" s="34">
        <f t="shared" si="3"/>
        <v>400000</v>
      </c>
      <c r="G65" s="27">
        <f>E65*((1+B7)/(1+B8)-1)</f>
        <v>837636.381310607</v>
      </c>
      <c r="H65" s="27">
        <f t="shared" si="4"/>
        <v>20317131.7333854</v>
      </c>
      <c r="I65" s="33" t="str">
        <f t="shared" si="5"/>
        <v>已达成</v>
      </c>
    </row>
    <row r="66" ht="14.5" spans="1:9">
      <c r="A66" s="32">
        <v>12</v>
      </c>
      <c r="B66" s="32">
        <f ca="1" t="shared" si="0"/>
        <v>2037</v>
      </c>
      <c r="C66" s="32">
        <f t="shared" si="1"/>
        <v>58</v>
      </c>
      <c r="D66" s="33" t="str">
        <f t="shared" si="2"/>
        <v>积累期</v>
      </c>
      <c r="E66" s="27">
        <f t="shared" si="6"/>
        <v>20317131.7333854</v>
      </c>
      <c r="F66" s="34">
        <f t="shared" si="3"/>
        <v>400000</v>
      </c>
      <c r="G66" s="27">
        <f>E66*((1+B7)/(1+B8)-1)</f>
        <v>891971.637075464</v>
      </c>
      <c r="H66" s="27">
        <f t="shared" si="4"/>
        <v>21609103.3704609</v>
      </c>
      <c r="I66" s="33" t="str">
        <f t="shared" si="5"/>
        <v>已达成</v>
      </c>
    </row>
    <row r="67" ht="14.5" spans="1:9">
      <c r="A67" s="32">
        <v>13</v>
      </c>
      <c r="B67" s="32">
        <f ca="1" t="shared" si="0"/>
        <v>2038</v>
      </c>
      <c r="C67" s="32">
        <f t="shared" si="1"/>
        <v>59</v>
      </c>
      <c r="D67" s="33" t="str">
        <f t="shared" si="2"/>
        <v>积累期</v>
      </c>
      <c r="E67" s="27">
        <f t="shared" si="6"/>
        <v>21609103.3704609</v>
      </c>
      <c r="F67" s="34">
        <f t="shared" si="3"/>
        <v>400000</v>
      </c>
      <c r="G67" s="27">
        <f>E67*((1+B7)/(1+B8)-1)</f>
        <v>948692.343093411</v>
      </c>
      <c r="H67" s="27">
        <f t="shared" si="4"/>
        <v>22957795.7135543</v>
      </c>
      <c r="I67" s="33" t="str">
        <f t="shared" si="5"/>
        <v>已达成</v>
      </c>
    </row>
    <row r="68" ht="14.5" spans="1:9">
      <c r="A68" s="32">
        <v>14</v>
      </c>
      <c r="B68" s="32">
        <f ca="1" t="shared" si="0"/>
        <v>2039</v>
      </c>
      <c r="C68" s="32">
        <f t="shared" si="1"/>
        <v>60</v>
      </c>
      <c r="D68" s="33" t="str">
        <f t="shared" si="2"/>
        <v>领取期</v>
      </c>
      <c r="E68" s="27">
        <f t="shared" si="6"/>
        <v>22957795.7135543</v>
      </c>
      <c r="F68" s="34">
        <f t="shared" si="3"/>
        <v>-322010</v>
      </c>
      <c r="G68" s="27">
        <f>E68*((1+B7)/(1+B8)-1)</f>
        <v>1007903.22644873</v>
      </c>
      <c r="H68" s="27">
        <f t="shared" si="4"/>
        <v>23643688.940003</v>
      </c>
      <c r="I68" s="33" t="str">
        <f t="shared" si="5"/>
        <v>已达成</v>
      </c>
    </row>
    <row r="69" ht="14.5" spans="1:9">
      <c r="A69" s="32">
        <v>15</v>
      </c>
      <c r="B69" s="32">
        <f ca="1" t="shared" si="0"/>
        <v>2040</v>
      </c>
      <c r="C69" s="32">
        <f t="shared" si="1"/>
        <v>61</v>
      </c>
      <c r="D69" s="33" t="str">
        <f t="shared" si="2"/>
        <v>领取期</v>
      </c>
      <c r="E69" s="27">
        <f t="shared" si="6"/>
        <v>23643688.940003</v>
      </c>
      <c r="F69" s="34">
        <f t="shared" si="3"/>
        <v>-322010</v>
      </c>
      <c r="G69" s="27">
        <f>E69*((1+B7)/(1+B8)-1)</f>
        <v>1038015.61200014</v>
      </c>
      <c r="H69" s="27">
        <f t="shared" si="4"/>
        <v>24359694.5520032</v>
      </c>
      <c r="I69" s="33" t="str">
        <f t="shared" si="5"/>
        <v>已达成</v>
      </c>
    </row>
    <row r="70" ht="14.5" spans="1:9">
      <c r="A70" s="32">
        <v>16</v>
      </c>
      <c r="B70" s="32">
        <f ca="1" t="shared" si="0"/>
        <v>2041</v>
      </c>
      <c r="C70" s="32">
        <f t="shared" si="1"/>
        <v>62</v>
      </c>
      <c r="D70" s="33" t="str">
        <f t="shared" si="2"/>
        <v>领取期</v>
      </c>
      <c r="E70" s="27">
        <f t="shared" si="6"/>
        <v>24359694.5520032</v>
      </c>
      <c r="F70" s="34">
        <f t="shared" si="3"/>
        <v>-322010</v>
      </c>
      <c r="G70" s="27">
        <f>E70*((1+B7)/(1+B8)-1)</f>
        <v>1069450.0047221</v>
      </c>
      <c r="H70" s="27">
        <f t="shared" si="4"/>
        <v>25107134.5567253</v>
      </c>
      <c r="I70" s="33" t="str">
        <f t="shared" si="5"/>
        <v>已达成</v>
      </c>
    </row>
    <row r="71" ht="14.5" spans="1:9">
      <c r="A71" s="32">
        <v>17</v>
      </c>
      <c r="B71" s="32">
        <f ca="1" t="shared" si="0"/>
        <v>2042</v>
      </c>
      <c r="C71" s="32">
        <f t="shared" si="1"/>
        <v>63</v>
      </c>
      <c r="D71" s="33" t="str">
        <f t="shared" si="2"/>
        <v>领取期</v>
      </c>
      <c r="E71" s="27">
        <f t="shared" si="6"/>
        <v>25107134.5567253</v>
      </c>
      <c r="F71" s="34">
        <f t="shared" si="3"/>
        <v>-322010</v>
      </c>
      <c r="G71" s="27">
        <f>E71*((1+B7)/(1+B8)-1)</f>
        <v>1102264.4439538</v>
      </c>
      <c r="H71" s="27">
        <f t="shared" si="4"/>
        <v>25887389.0006791</v>
      </c>
      <c r="I71" s="33" t="str">
        <f t="shared" si="5"/>
        <v>已达成</v>
      </c>
    </row>
    <row r="72" ht="14.5" spans="1:9">
      <c r="A72" s="32">
        <v>18</v>
      </c>
      <c r="B72" s="32">
        <f ca="1" t="shared" si="0"/>
        <v>2043</v>
      </c>
      <c r="C72" s="32">
        <f t="shared" si="1"/>
        <v>64</v>
      </c>
      <c r="D72" s="33" t="str">
        <f t="shared" si="2"/>
        <v>领取期</v>
      </c>
      <c r="E72" s="27">
        <f t="shared" si="6"/>
        <v>25887389.0006791</v>
      </c>
      <c r="F72" s="34">
        <f t="shared" si="3"/>
        <v>-322010</v>
      </c>
      <c r="G72" s="27">
        <f>E72*((1+B7)/(1+B8)-1)</f>
        <v>1136519.51710299</v>
      </c>
      <c r="H72" s="27">
        <f t="shared" si="4"/>
        <v>26701898.5177821</v>
      </c>
      <c r="I72" s="33" t="str">
        <f t="shared" si="5"/>
        <v>已达成</v>
      </c>
    </row>
    <row r="73" ht="14.5" spans="1:9">
      <c r="A73" s="32">
        <v>19</v>
      </c>
      <c r="B73" s="32">
        <f ca="1" t="shared" si="0"/>
        <v>2044</v>
      </c>
      <c r="C73" s="32">
        <f t="shared" si="1"/>
        <v>65</v>
      </c>
      <c r="D73" s="33" t="str">
        <f t="shared" si="2"/>
        <v>领取期</v>
      </c>
      <c r="E73" s="27">
        <f t="shared" si="6"/>
        <v>26701898.5177821</v>
      </c>
      <c r="F73" s="34">
        <f t="shared" si="3"/>
        <v>-322010</v>
      </c>
      <c r="G73" s="27">
        <f>E73*((1+B7)/(1+B8)-1)</f>
        <v>1172278.47151239</v>
      </c>
      <c r="H73" s="27">
        <f t="shared" si="4"/>
        <v>27552166.9892945</v>
      </c>
      <c r="I73" s="33" t="str">
        <f t="shared" si="5"/>
        <v>已达成</v>
      </c>
    </row>
    <row r="74" ht="14.5" spans="1:9">
      <c r="A74" s="32">
        <v>20</v>
      </c>
      <c r="B74" s="32">
        <f ca="1" t="shared" si="0"/>
        <v>2045</v>
      </c>
      <c r="C74" s="32">
        <f t="shared" si="1"/>
        <v>66</v>
      </c>
      <c r="D74" s="33" t="str">
        <f t="shared" si="2"/>
        <v>领取期</v>
      </c>
      <c r="E74" s="27">
        <f t="shared" si="6"/>
        <v>27552166.9892945</v>
      </c>
      <c r="F74" s="34">
        <f t="shared" si="3"/>
        <v>-322010</v>
      </c>
      <c r="G74" s="27">
        <f>E74*((1+B7)/(1+B8)-1)</f>
        <v>1209607.33123733</v>
      </c>
      <c r="H74" s="27">
        <f t="shared" si="4"/>
        <v>28439764.3205318</v>
      </c>
      <c r="I74" s="33" t="str">
        <f t="shared" si="5"/>
        <v>已达成</v>
      </c>
    </row>
    <row r="75" ht="14.5" spans="1:9">
      <c r="A75" s="32">
        <v>21</v>
      </c>
      <c r="B75" s="32">
        <f ca="1" t="shared" si="0"/>
        <v>2046</v>
      </c>
      <c r="C75" s="32">
        <f t="shared" si="1"/>
        <v>67</v>
      </c>
      <c r="D75" s="33" t="str">
        <f t="shared" si="2"/>
        <v>领取期</v>
      </c>
      <c r="E75" s="27">
        <f t="shared" si="6"/>
        <v>28439764.3205318</v>
      </c>
      <c r="F75" s="34">
        <f t="shared" si="3"/>
        <v>-322010</v>
      </c>
      <c r="G75" s="27">
        <f>E75*((1+B7)/(1+B8)-1)</f>
        <v>1248575.01895018</v>
      </c>
      <c r="H75" s="27">
        <f t="shared" si="4"/>
        <v>29366329.339482</v>
      </c>
      <c r="I75" s="33" t="str">
        <f t="shared" si="5"/>
        <v>已达成</v>
      </c>
    </row>
    <row r="76" ht="14.5" spans="1:9">
      <c r="A76" s="32">
        <v>22</v>
      </c>
      <c r="B76" s="32">
        <f ca="1" t="shared" si="0"/>
        <v>2047</v>
      </c>
      <c r="C76" s="32">
        <f t="shared" si="1"/>
        <v>68</v>
      </c>
      <c r="D76" s="33" t="str">
        <f t="shared" si="2"/>
        <v>领取期</v>
      </c>
      <c r="E76" s="27">
        <f t="shared" si="6"/>
        <v>29366329.339482</v>
      </c>
      <c r="F76" s="34">
        <f t="shared" si="3"/>
        <v>-322010</v>
      </c>
      <c r="G76" s="27">
        <f>E76*((1+B7)/(1+B8)-1)</f>
        <v>1289253.48319678</v>
      </c>
      <c r="H76" s="27">
        <f t="shared" si="4"/>
        <v>30333572.8226788</v>
      </c>
      <c r="I76" s="33" t="str">
        <f t="shared" si="5"/>
        <v>已达成</v>
      </c>
    </row>
    <row r="77" ht="14.5" spans="1:9">
      <c r="A77" s="32">
        <v>23</v>
      </c>
      <c r="B77" s="32">
        <f ca="1" t="shared" si="0"/>
        <v>2048</v>
      </c>
      <c r="C77" s="32">
        <f t="shared" si="1"/>
        <v>69</v>
      </c>
      <c r="D77" s="33" t="str">
        <f t="shared" si="2"/>
        <v>领取期</v>
      </c>
      <c r="E77" s="27">
        <f t="shared" si="6"/>
        <v>30333572.8226788</v>
      </c>
      <c r="F77" s="34">
        <f t="shared" si="3"/>
        <v>-322010</v>
      </c>
      <c r="G77" s="27">
        <f>E77*((1+B7)/(1+B8)-1)</f>
        <v>1331717.83123956</v>
      </c>
      <c r="H77" s="27">
        <f t="shared" si="4"/>
        <v>31343280.6539183</v>
      </c>
      <c r="I77" s="33" t="str">
        <f t="shared" si="5"/>
        <v>已达成</v>
      </c>
    </row>
    <row r="78" ht="14.5" spans="1:9">
      <c r="A78" s="32">
        <v>24</v>
      </c>
      <c r="B78" s="32">
        <f ca="1" t="shared" si="0"/>
        <v>2049</v>
      </c>
      <c r="C78" s="32">
        <f t="shared" si="1"/>
        <v>70</v>
      </c>
      <c r="D78" s="33" t="str">
        <f t="shared" si="2"/>
        <v>领取期</v>
      </c>
      <c r="E78" s="27">
        <f t="shared" si="6"/>
        <v>31343280.6539183</v>
      </c>
      <c r="F78" s="34">
        <f t="shared" si="3"/>
        <v>-322010</v>
      </c>
      <c r="G78" s="27">
        <f>E78*((1+B7)/(1+B8)-1)</f>
        <v>1376046.46773301</v>
      </c>
      <c r="H78" s="27">
        <f t="shared" si="4"/>
        <v>32397317.1216513</v>
      </c>
      <c r="I78" s="33" t="str">
        <f t="shared" si="5"/>
        <v>已达成</v>
      </c>
    </row>
    <row r="79" ht="14.5" spans="1:9">
      <c r="A79" s="32">
        <v>25</v>
      </c>
      <c r="B79" s="32">
        <f ca="1" t="shared" si="0"/>
        <v>2050</v>
      </c>
      <c r="C79" s="32">
        <f t="shared" si="1"/>
        <v>71</v>
      </c>
      <c r="D79" s="33" t="str">
        <f t="shared" si="2"/>
        <v>领取期</v>
      </c>
      <c r="E79" s="27">
        <f t="shared" si="6"/>
        <v>32397317.1216513</v>
      </c>
      <c r="F79" s="34">
        <f t="shared" si="3"/>
        <v>-322010</v>
      </c>
      <c r="G79" s="27">
        <f>E79*((1+B7)/(1+B8)-1)</f>
        <v>1422321.23948714</v>
      </c>
      <c r="H79" s="27">
        <f t="shared" si="4"/>
        <v>33497628.3611385</v>
      </c>
      <c r="I79" s="33" t="str">
        <f t="shared" si="5"/>
        <v>已达成</v>
      </c>
    </row>
    <row r="80" ht="14.5" spans="1:9">
      <c r="A80" s="32">
        <v>26</v>
      </c>
      <c r="B80" s="32">
        <f ca="1" t="shared" si="0"/>
        <v>2051</v>
      </c>
      <c r="C80" s="32">
        <f t="shared" si="1"/>
        <v>72</v>
      </c>
      <c r="D80" s="33" t="str">
        <f t="shared" si="2"/>
        <v>领取期</v>
      </c>
      <c r="E80" s="27">
        <f t="shared" si="6"/>
        <v>33497628.3611385</v>
      </c>
      <c r="F80" s="34">
        <f t="shared" si="3"/>
        <v>-322010</v>
      </c>
      <c r="G80" s="27">
        <f>E80*((1+B7)/(1+B8)-1)</f>
        <v>1470627.58658658</v>
      </c>
      <c r="H80" s="27">
        <f t="shared" si="4"/>
        <v>34646245.947725</v>
      </c>
      <c r="I80" s="33" t="str">
        <f t="shared" si="5"/>
        <v>已达成</v>
      </c>
    </row>
    <row r="81" ht="14.5" spans="1:9">
      <c r="A81" s="32">
        <v>27</v>
      </c>
      <c r="B81" s="32">
        <f ca="1" t="shared" si="0"/>
        <v>2052</v>
      </c>
      <c r="C81" s="32">
        <f t="shared" si="1"/>
        <v>73</v>
      </c>
      <c r="D81" s="33" t="str">
        <f t="shared" si="2"/>
        <v>领取期</v>
      </c>
      <c r="E81" s="27">
        <f t="shared" si="6"/>
        <v>34646245.947725</v>
      </c>
      <c r="F81" s="34">
        <f t="shared" si="3"/>
        <v>-322010</v>
      </c>
      <c r="G81" s="27">
        <f>E81*((1+B7)/(1+B8)-1)</f>
        <v>1521054.70014404</v>
      </c>
      <c r="H81" s="27">
        <f t="shared" si="4"/>
        <v>35845290.6478691</v>
      </c>
      <c r="I81" s="33" t="str">
        <f t="shared" si="5"/>
        <v>已达成</v>
      </c>
    </row>
    <row r="82" ht="14.5" spans="1:9">
      <c r="A82" s="32">
        <v>28</v>
      </c>
      <c r="B82" s="32">
        <f ca="1" t="shared" si="0"/>
        <v>2053</v>
      </c>
      <c r="C82" s="32">
        <f t="shared" si="1"/>
        <v>74</v>
      </c>
      <c r="D82" s="33" t="str">
        <f t="shared" si="2"/>
        <v>领取期</v>
      </c>
      <c r="E82" s="27">
        <f t="shared" si="6"/>
        <v>35845290.6478691</v>
      </c>
      <c r="F82" s="34">
        <f t="shared" si="3"/>
        <v>-322010</v>
      </c>
      <c r="G82" s="27">
        <f>E82*((1+B7)/(1+B8)-1)</f>
        <v>1573695.68697963</v>
      </c>
      <c r="H82" s="27">
        <f t="shared" si="4"/>
        <v>37096976.3348487</v>
      </c>
      <c r="I82" s="33" t="str">
        <f t="shared" si="5"/>
        <v>已达成</v>
      </c>
    </row>
    <row r="83" ht="14.5" spans="1:9">
      <c r="A83" s="32">
        <v>29</v>
      </c>
      <c r="B83" s="32">
        <f ca="1" t="shared" si="0"/>
        <v>2054</v>
      </c>
      <c r="C83" s="32">
        <f t="shared" si="1"/>
        <v>75</v>
      </c>
      <c r="D83" s="33" t="str">
        <f t="shared" si="2"/>
        <v>领取期</v>
      </c>
      <c r="E83" s="27">
        <f t="shared" si="6"/>
        <v>37096976.3348487</v>
      </c>
      <c r="F83" s="34">
        <f t="shared" si="3"/>
        <v>-322010</v>
      </c>
      <c r="G83" s="27">
        <f>E83*((1+B7)/(1+B8)-1)</f>
        <v>1628647.74152995</v>
      </c>
      <c r="H83" s="27">
        <f t="shared" si="4"/>
        <v>38403614.0763787</v>
      </c>
      <c r="I83" s="33" t="str">
        <f t="shared" si="5"/>
        <v>已达成</v>
      </c>
    </row>
    <row r="84" ht="14.5" spans="1:9">
      <c r="A84" s="32">
        <v>30</v>
      </c>
      <c r="B84" s="32">
        <f ca="1" t="shared" si="0"/>
        <v>2055</v>
      </c>
      <c r="C84" s="32">
        <f t="shared" si="1"/>
        <v>76</v>
      </c>
      <c r="D84" s="33" t="str">
        <f t="shared" si="2"/>
        <v>领取期</v>
      </c>
      <c r="E84" s="27">
        <f t="shared" si="6"/>
        <v>38403614.0763787</v>
      </c>
      <c r="F84" s="34">
        <f t="shared" si="3"/>
        <v>-322010</v>
      </c>
      <c r="G84" s="27">
        <f>E84*((1+B7)/(1+B8)-1)</f>
        <v>1686012.32530444</v>
      </c>
      <c r="H84" s="27">
        <f t="shared" si="4"/>
        <v>39767616.4016831</v>
      </c>
      <c r="I84" s="33" t="str">
        <f t="shared" si="5"/>
        <v>已达成</v>
      </c>
    </row>
    <row r="85" ht="14.5" spans="1:9">
      <c r="A85" s="32">
        <v>31</v>
      </c>
      <c r="B85" s="32">
        <f ca="1" t="shared" si="0"/>
        <v>2056</v>
      </c>
      <c r="C85" s="32">
        <f t="shared" si="1"/>
        <v>77</v>
      </c>
      <c r="D85" s="33" t="str">
        <f t="shared" si="2"/>
        <v>领取期</v>
      </c>
      <c r="E85" s="27">
        <f t="shared" si="6"/>
        <v>39767616.4016831</v>
      </c>
      <c r="F85" s="34">
        <f t="shared" si="3"/>
        <v>-322010</v>
      </c>
      <c r="G85" s="27">
        <f>E85*((1+B7)/(1+B8)-1)</f>
        <v>1745895.35422024</v>
      </c>
      <c r="H85" s="27">
        <f t="shared" si="4"/>
        <v>41191501.7559033</v>
      </c>
      <c r="I85" s="33" t="str">
        <f t="shared" si="5"/>
        <v>已达成</v>
      </c>
    </row>
    <row r="86" ht="14.5" spans="1:9">
      <c r="A86" s="32">
        <v>32</v>
      </c>
      <c r="B86" s="32">
        <f ca="1" t="shared" si="0"/>
        <v>2057</v>
      </c>
      <c r="C86" s="32">
        <f t="shared" si="1"/>
        <v>78</v>
      </c>
      <c r="D86" s="33" t="str">
        <f t="shared" si="2"/>
        <v>领取期</v>
      </c>
      <c r="E86" s="27">
        <f t="shared" si="6"/>
        <v>41191501.7559033</v>
      </c>
      <c r="F86" s="34">
        <f t="shared" si="3"/>
        <v>-322010</v>
      </c>
      <c r="G86" s="27">
        <f>E86*((1+B7)/(1+B8)-1)</f>
        <v>1808407.39416162</v>
      </c>
      <c r="H86" s="27">
        <f t="shared" si="4"/>
        <v>42677899.150065</v>
      </c>
      <c r="I86" s="33" t="str">
        <f t="shared" si="5"/>
        <v>已达成</v>
      </c>
    </row>
    <row r="87" ht="14.5" spans="1:9">
      <c r="A87" s="32">
        <v>33</v>
      </c>
      <c r="B87" s="32">
        <f ca="1" t="shared" si="0"/>
        <v>2058</v>
      </c>
      <c r="C87" s="32">
        <f t="shared" si="1"/>
        <v>79</v>
      </c>
      <c r="D87" s="33" t="str">
        <f t="shared" si="2"/>
        <v>领取期</v>
      </c>
      <c r="E87" s="27">
        <f t="shared" si="6"/>
        <v>42677899.150065</v>
      </c>
      <c r="F87" s="34">
        <f t="shared" si="3"/>
        <v>-322010</v>
      </c>
      <c r="G87" s="27">
        <f>E87*((1+B7)/(1+B8)-1)</f>
        <v>1873663.86512481</v>
      </c>
      <c r="H87" s="27">
        <f t="shared" si="4"/>
        <v>44229553.0151898</v>
      </c>
      <c r="I87" s="33" t="str">
        <f t="shared" si="5"/>
        <v>已达成</v>
      </c>
    </row>
    <row r="88" ht="14.5" spans="1:9">
      <c r="A88" s="32">
        <v>34</v>
      </c>
      <c r="B88" s="32">
        <f ca="1" t="shared" si="0"/>
        <v>2059</v>
      </c>
      <c r="C88" s="32">
        <f t="shared" si="1"/>
        <v>80</v>
      </c>
      <c r="D88" s="33" t="str">
        <f t="shared" si="2"/>
        <v>领取期</v>
      </c>
      <c r="E88" s="27">
        <f t="shared" si="6"/>
        <v>44229553.0151898</v>
      </c>
      <c r="F88" s="34">
        <f t="shared" si="3"/>
        <v>-322010</v>
      </c>
      <c r="G88" s="27">
        <f>E88*((1+B7)/(1+B8)-1)</f>
        <v>1941785.25432542</v>
      </c>
      <c r="H88" s="27">
        <f t="shared" si="4"/>
        <v>45849328.2695152</v>
      </c>
      <c r="I88" s="33" t="str">
        <f t="shared" si="5"/>
        <v>已达成</v>
      </c>
    </row>
    <row r="89" ht="14.5" spans="1:9">
      <c r="A89" s="32">
        <v>35</v>
      </c>
      <c r="B89" s="32">
        <f ca="1" t="shared" si="0"/>
        <v>2060</v>
      </c>
      <c r="C89" s="32">
        <f t="shared" si="1"/>
        <v>81</v>
      </c>
      <c r="D89" s="33" t="str">
        <f t="shared" si="2"/>
        <v>领取期</v>
      </c>
      <c r="E89" s="27">
        <f t="shared" si="6"/>
        <v>45849328.2695152</v>
      </c>
      <c r="F89" s="34">
        <f t="shared" si="3"/>
        <v>-322010</v>
      </c>
      <c r="G89" s="27">
        <f>E89*((1+B7)/(1+B8)-1)</f>
        <v>2012897.33866165</v>
      </c>
      <c r="H89" s="27">
        <f t="shared" si="4"/>
        <v>47540215.6081768</v>
      </c>
      <c r="I89" s="33" t="str">
        <f t="shared" si="5"/>
        <v>已达成</v>
      </c>
    </row>
    <row r="90" ht="14.5" spans="1:9">
      <c r="A90" s="32">
        <v>36</v>
      </c>
      <c r="B90" s="32">
        <f ca="1" t="shared" si="0"/>
        <v>2061</v>
      </c>
      <c r="C90" s="32">
        <f t="shared" si="1"/>
        <v>82</v>
      </c>
      <c r="D90" s="33" t="str">
        <f t="shared" si="2"/>
        <v>领取期</v>
      </c>
      <c r="E90" s="27">
        <f t="shared" si="6"/>
        <v>47540215.6081768</v>
      </c>
      <c r="F90" s="34">
        <f t="shared" si="3"/>
        <v>-322010</v>
      </c>
      <c r="G90" s="27">
        <f>E90*((1+B7)/(1+B8)-1)</f>
        <v>2087131.41694436</v>
      </c>
      <c r="H90" s="27">
        <f t="shared" si="4"/>
        <v>49305337.0251212</v>
      </c>
      <c r="I90" s="33" t="str">
        <f t="shared" si="5"/>
        <v>已达成</v>
      </c>
    </row>
    <row r="91" ht="14.5" spans="1:9">
      <c r="A91" s="32">
        <v>37</v>
      </c>
      <c r="B91" s="32">
        <f ca="1" t="shared" si="0"/>
        <v>2062</v>
      </c>
      <c r="C91" s="32">
        <f t="shared" si="1"/>
        <v>83</v>
      </c>
      <c r="D91" s="33" t="str">
        <f t="shared" si="2"/>
        <v>领取期</v>
      </c>
      <c r="E91" s="27">
        <f t="shared" si="6"/>
        <v>49305337.0251212</v>
      </c>
      <c r="F91" s="34">
        <f t="shared" si="3"/>
        <v>-322010</v>
      </c>
      <c r="G91" s="27">
        <f>E91*((1+B7)/(1+B8)-1)</f>
        <v>2164624.55232241</v>
      </c>
      <c r="H91" s="27">
        <f t="shared" si="4"/>
        <v>51147951.5774436</v>
      </c>
      <c r="I91" s="33" t="str">
        <f t="shared" si="5"/>
        <v>已达成</v>
      </c>
    </row>
    <row r="92" ht="14.5" spans="1:9">
      <c r="A92" s="32">
        <v>38</v>
      </c>
      <c r="B92" s="32">
        <f ca="1" t="shared" si="0"/>
        <v>2063</v>
      </c>
      <c r="C92" s="32">
        <f t="shared" si="1"/>
        <v>84</v>
      </c>
      <c r="D92" s="33" t="str">
        <f t="shared" si="2"/>
        <v>领取期</v>
      </c>
      <c r="E92" s="27">
        <f t="shared" si="6"/>
        <v>51147951.5774436</v>
      </c>
      <c r="F92" s="34">
        <f t="shared" si="3"/>
        <v>-322010</v>
      </c>
      <c r="G92" s="27">
        <f>E92*((1+B7)/(1+B8)-1)</f>
        <v>2245519.8253512</v>
      </c>
      <c r="H92" s="27">
        <f t="shared" si="4"/>
        <v>53071461.4027948</v>
      </c>
      <c r="I92" s="33" t="str">
        <f t="shared" si="5"/>
        <v>已达成</v>
      </c>
    </row>
    <row r="93" ht="14.5" spans="1:9">
      <c r="A93" s="32">
        <v>39</v>
      </c>
      <c r="B93" s="32">
        <f ca="1" t="shared" si="0"/>
        <v>2064</v>
      </c>
      <c r="C93" s="32">
        <f t="shared" si="1"/>
        <v>85</v>
      </c>
      <c r="D93" s="33" t="str">
        <f t="shared" si="2"/>
        <v>领取期</v>
      </c>
      <c r="E93" s="27">
        <f t="shared" si="6"/>
        <v>53071461.4027948</v>
      </c>
      <c r="F93" s="34">
        <f t="shared" si="3"/>
        <v>-322010</v>
      </c>
      <c r="G93" s="27">
        <f>E93*((1+B7)/(1+B8)-1)</f>
        <v>2329966.59817149</v>
      </c>
      <c r="H93" s="27">
        <f t="shared" si="4"/>
        <v>55079418.0009663</v>
      </c>
      <c r="I93" s="33" t="str">
        <f t="shared" si="5"/>
        <v>已达成</v>
      </c>
    </row>
    <row r="94" ht="14.5" spans="1:9">
      <c r="A94" s="32">
        <v>40</v>
      </c>
      <c r="B94" s="32">
        <f ca="1" t="shared" si="0"/>
        <v>2065</v>
      </c>
      <c r="C94" s="32">
        <f t="shared" si="1"/>
        <v>86</v>
      </c>
      <c r="D94" s="33" t="str">
        <f t="shared" si="2"/>
        <v>领取期</v>
      </c>
      <c r="E94" s="27">
        <f t="shared" si="6"/>
        <v>55079418.0009663</v>
      </c>
      <c r="F94" s="34">
        <f t="shared" si="3"/>
        <v>-322010</v>
      </c>
      <c r="G94" s="27">
        <f>E94*((1+B7)/(1+B8)-1)</f>
        <v>2418120.79028634</v>
      </c>
      <c r="H94" s="27">
        <f t="shared" si="4"/>
        <v>57175528.7912527</v>
      </c>
      <c r="I94" s="33" t="str">
        <f t="shared" si="5"/>
        <v>已达成</v>
      </c>
    </row>
    <row r="95" ht="14.5" spans="1:9">
      <c r="A95" s="32">
        <v>41</v>
      </c>
      <c r="B95" s="32">
        <f ca="1" t="shared" si="0"/>
        <v>2066</v>
      </c>
      <c r="C95" s="32">
        <f t="shared" si="1"/>
        <v>87</v>
      </c>
      <c r="D95" s="33" t="str">
        <f t="shared" si="2"/>
        <v>领取期</v>
      </c>
      <c r="E95" s="27">
        <f t="shared" si="6"/>
        <v>57175528.7912527</v>
      </c>
      <c r="F95" s="34">
        <f t="shared" si="3"/>
        <v>-322010</v>
      </c>
      <c r="G95" s="27">
        <f>E95*((1+B7)/(1+B8)-1)</f>
        <v>2510145.16644525</v>
      </c>
      <c r="H95" s="27">
        <f t="shared" si="4"/>
        <v>59363663.9576979</v>
      </c>
      <c r="I95" s="33" t="str">
        <f t="shared" si="5"/>
        <v>已达成</v>
      </c>
    </row>
    <row r="96" ht="14.5" spans="1:9">
      <c r="A96" s="32">
        <v>42</v>
      </c>
      <c r="B96" s="32">
        <f ca="1" t="shared" si="0"/>
        <v>2067</v>
      </c>
      <c r="C96" s="32">
        <f t="shared" si="1"/>
        <v>88</v>
      </c>
      <c r="D96" s="33" t="str">
        <f t="shared" si="2"/>
        <v>领取期</v>
      </c>
      <c r="E96" s="27">
        <f t="shared" si="6"/>
        <v>59363663.9576979</v>
      </c>
      <c r="F96" s="34">
        <f t="shared" si="3"/>
        <v>-322010</v>
      </c>
      <c r="G96" s="27">
        <f>E96*((1+B7)/(1+B8)-1)</f>
        <v>2606209.63716724</v>
      </c>
      <c r="H96" s="27">
        <f t="shared" si="4"/>
        <v>61647863.5948651</v>
      </c>
      <c r="I96" s="33" t="str">
        <f t="shared" si="5"/>
        <v>已达成</v>
      </c>
    </row>
    <row r="97" ht="14.5" spans="1:9">
      <c r="A97" s="32">
        <v>43</v>
      </c>
      <c r="B97" s="32">
        <f ca="1" t="shared" si="0"/>
        <v>2068</v>
      </c>
      <c r="C97" s="32">
        <f t="shared" si="1"/>
        <v>89</v>
      </c>
      <c r="D97" s="33" t="str">
        <f t="shared" si="2"/>
        <v>领取期</v>
      </c>
      <c r="E97" s="27">
        <f t="shared" si="6"/>
        <v>61647863.5948651</v>
      </c>
      <c r="F97" s="34">
        <f t="shared" si="3"/>
        <v>-322010</v>
      </c>
      <c r="G97" s="27">
        <f>E97*((1+B7)/(1+B8)-1)</f>
        <v>2706491.57245751</v>
      </c>
      <c r="H97" s="27">
        <f t="shared" si="4"/>
        <v>64032345.1673227</v>
      </c>
      <c r="I97" s="33" t="str">
        <f t="shared" si="5"/>
        <v>已达成</v>
      </c>
    </row>
    <row r="98" ht="14.5" spans="1:9">
      <c r="A98" s="32">
        <v>44</v>
      </c>
      <c r="B98" s="32">
        <f ca="1" t="shared" si="0"/>
        <v>2069</v>
      </c>
      <c r="C98" s="32">
        <f t="shared" si="1"/>
        <v>90</v>
      </c>
      <c r="D98" s="33" t="str">
        <f t="shared" si="2"/>
        <v>领取期</v>
      </c>
      <c r="E98" s="27">
        <f t="shared" si="6"/>
        <v>64032345.1673227</v>
      </c>
      <c r="F98" s="34">
        <f t="shared" si="3"/>
        <v>-322010</v>
      </c>
      <c r="G98" s="27">
        <f>E98*((1+B7)/(1+B8)-1)</f>
        <v>2811176.12929711</v>
      </c>
      <c r="H98" s="27">
        <f t="shared" si="4"/>
        <v>66521511.2966198</v>
      </c>
      <c r="I98" s="33" t="str">
        <f t="shared" si="5"/>
        <v>已达成</v>
      </c>
    </row>
    <row r="99" ht="14.5" spans="1:9">
      <c r="A99" s="32">
        <v>45</v>
      </c>
      <c r="B99" s="32">
        <f ca="1" t="shared" si="0"/>
        <v>2070</v>
      </c>
      <c r="C99" s="32">
        <f t="shared" si="1"/>
        <v>91</v>
      </c>
      <c r="D99" s="33" t="str">
        <f t="shared" si="2"/>
        <v>领取期</v>
      </c>
      <c r="E99" s="27">
        <f t="shared" si="6"/>
        <v>66521511.2966198</v>
      </c>
      <c r="F99" s="34">
        <f t="shared" si="3"/>
        <v>-322010</v>
      </c>
      <c r="G99" s="27">
        <f>E99*((1+B7)/(1+B8)-1)</f>
        <v>2920456.59351015</v>
      </c>
      <c r="H99" s="27">
        <f t="shared" si="4"/>
        <v>69119957.8901299</v>
      </c>
      <c r="I99" s="33" t="str">
        <f t="shared" si="5"/>
        <v>已达成</v>
      </c>
    </row>
    <row r="100" ht="14.5" spans="1:9">
      <c r="A100" s="32">
        <v>46</v>
      </c>
      <c r="B100" s="32">
        <f ca="1" t="shared" si="0"/>
        <v>2071</v>
      </c>
      <c r="C100" s="32">
        <f t="shared" si="1"/>
        <v>92</v>
      </c>
      <c r="D100" s="33" t="str">
        <f t="shared" si="2"/>
        <v>领取期</v>
      </c>
      <c r="E100" s="27">
        <f t="shared" si="6"/>
        <v>69119957.8901299</v>
      </c>
      <c r="F100" s="34">
        <f t="shared" si="3"/>
        <v>-322010</v>
      </c>
      <c r="G100" s="27">
        <f>E100*((1+B7)/(1+B8)-1)</f>
        <v>3034534.73663987</v>
      </c>
      <c r="H100" s="27">
        <f t="shared" si="4"/>
        <v>71832482.6267698</v>
      </c>
      <c r="I100" s="33" t="str">
        <f t="shared" si="5"/>
        <v>已达成</v>
      </c>
    </row>
    <row r="101" ht="14.5" spans="1:9">
      <c r="A101" s="32">
        <v>47</v>
      </c>
      <c r="B101" s="32">
        <f ca="1" t="shared" si="0"/>
        <v>2072</v>
      </c>
      <c r="C101" s="32">
        <f t="shared" si="1"/>
        <v>93</v>
      </c>
      <c r="D101" s="33" t="str">
        <f t="shared" si="2"/>
        <v>领取期</v>
      </c>
      <c r="E101" s="27">
        <f t="shared" si="6"/>
        <v>71832482.6267698</v>
      </c>
      <c r="F101" s="34">
        <f t="shared" si="3"/>
        <v>-322010</v>
      </c>
      <c r="G101" s="27">
        <f>E101*((1+B7)/(1+B8)-1)</f>
        <v>3153621.18849235</v>
      </c>
      <c r="H101" s="27">
        <f t="shared" si="4"/>
        <v>74664093.8152621</v>
      </c>
      <c r="I101" s="33" t="str">
        <f t="shared" si="5"/>
        <v>已达成</v>
      </c>
    </row>
    <row r="102" ht="14.5" spans="1:9">
      <c r="A102" s="32">
        <v>48</v>
      </c>
      <c r="B102" s="32">
        <f ca="1" t="shared" si="0"/>
        <v>2073</v>
      </c>
      <c r="C102" s="32">
        <f t="shared" si="1"/>
        <v>94</v>
      </c>
      <c r="D102" s="33" t="str">
        <f t="shared" si="2"/>
        <v>领取期</v>
      </c>
      <c r="E102" s="27">
        <f t="shared" si="6"/>
        <v>74664093.8152621</v>
      </c>
      <c r="F102" s="34">
        <f t="shared" si="3"/>
        <v>-322010</v>
      </c>
      <c r="G102" s="27">
        <f>E102*((1+B7)/(1+B8)-1)</f>
        <v>3277935.82603592</v>
      </c>
      <c r="H102" s="27">
        <f t="shared" si="4"/>
        <v>77620019.6412981</v>
      </c>
      <c r="I102" s="33" t="str">
        <f t="shared" si="5"/>
        <v>已达成</v>
      </c>
    </row>
    <row r="103" ht="14.5" spans="1:9">
      <c r="A103" s="32">
        <v>49</v>
      </c>
      <c r="B103" s="32">
        <f ca="1" t="shared" si="0"/>
        <v>2074</v>
      </c>
      <c r="C103" s="32">
        <f t="shared" si="1"/>
        <v>95</v>
      </c>
      <c r="D103" s="33" t="str">
        <f t="shared" si="2"/>
        <v>领取期</v>
      </c>
      <c r="E103" s="27">
        <f t="shared" si="6"/>
        <v>77620019.6412981</v>
      </c>
      <c r="F103" s="34">
        <f t="shared" si="3"/>
        <v>-322010</v>
      </c>
      <c r="G103" s="27">
        <f>E103*((1+B7)/(1+B8)-1)</f>
        <v>3407708.17937408</v>
      </c>
      <c r="H103" s="27">
        <f t="shared" si="4"/>
        <v>80705717.8206721</v>
      </c>
      <c r="I103" s="33" t="str">
        <f t="shared" si="5"/>
        <v>已达成</v>
      </c>
    </row>
    <row r="104" ht="14.5" spans="1:9">
      <c r="A104" s="32">
        <v>50</v>
      </c>
      <c r="B104" s="32">
        <f ca="1" t="shared" si="0"/>
        <v>2075</v>
      </c>
      <c r="C104" s="32">
        <f t="shared" si="1"/>
        <v>96</v>
      </c>
      <c r="D104" s="33" t="str">
        <f t="shared" si="2"/>
        <v>领取期</v>
      </c>
      <c r="E104" s="27">
        <f t="shared" si="6"/>
        <v>80705717.8206721</v>
      </c>
      <c r="F104" s="34">
        <f t="shared" si="3"/>
        <v>-322010</v>
      </c>
      <c r="G104" s="27">
        <f>E104*((1+B7)/(1+B8)-1)</f>
        <v>3543177.85554172</v>
      </c>
      <c r="H104" s="27">
        <f t="shared" si="4"/>
        <v>83926885.6762139</v>
      </c>
      <c r="I104" s="33" t="str">
        <f t="shared" si="5"/>
        <v>已达成</v>
      </c>
    </row>
    <row r="105" ht="14.5" spans="1:9">
      <c r="A105" s="32">
        <v>51</v>
      </c>
      <c r="B105" s="32">
        <f ca="1" t="shared" si="0"/>
        <v>2076</v>
      </c>
      <c r="C105" s="32">
        <f t="shared" si="1"/>
        <v>97</v>
      </c>
      <c r="D105" s="33" t="str">
        <f t="shared" si="2"/>
        <v>领取期</v>
      </c>
      <c r="E105" s="27">
        <f t="shared" si="6"/>
        <v>83926885.6762139</v>
      </c>
      <c r="F105" s="34">
        <f t="shared" si="3"/>
        <v>-322010</v>
      </c>
      <c r="G105" s="27">
        <f>E105*((1+B7)/(1+B8)-1)</f>
        <v>3684594.98090697</v>
      </c>
      <c r="H105" s="27">
        <f t="shared" si="4"/>
        <v>87289470.6571208</v>
      </c>
      <c r="I105" s="33" t="str">
        <f t="shared" si="5"/>
        <v>已达成</v>
      </c>
    </row>
    <row r="106" ht="14.5" spans="1:9">
      <c r="A106" s="32">
        <v>52</v>
      </c>
      <c r="B106" s="32">
        <f ca="1" t="shared" si="0"/>
        <v>2077</v>
      </c>
      <c r="C106" s="32">
        <f t="shared" si="1"/>
        <v>98</v>
      </c>
      <c r="D106" s="33" t="str">
        <f t="shared" si="2"/>
        <v>领取期</v>
      </c>
      <c r="E106" s="27">
        <f t="shared" si="6"/>
        <v>87289470.6571208</v>
      </c>
      <c r="F106" s="34">
        <f t="shared" si="3"/>
        <v>-322010</v>
      </c>
      <c r="G106" s="27">
        <f>E106*((1+B7)/(1+B8)-1)</f>
        <v>3832220.66299557</v>
      </c>
      <c r="H106" s="27">
        <f t="shared" si="4"/>
        <v>90799681.3201164</v>
      </c>
      <c r="I106" s="33" t="str">
        <f t="shared" si="5"/>
        <v>已达成</v>
      </c>
    </row>
    <row r="107" ht="14.5" spans="1:9">
      <c r="A107" s="32">
        <v>53</v>
      </c>
      <c r="B107" s="32">
        <f ca="1" t="shared" si="0"/>
        <v>2078</v>
      </c>
      <c r="C107" s="32">
        <f t="shared" si="1"/>
        <v>99</v>
      </c>
      <c r="D107" s="33" t="str">
        <f t="shared" si="2"/>
        <v>领取期</v>
      </c>
      <c r="E107" s="27">
        <f t="shared" si="6"/>
        <v>90799681.3201164</v>
      </c>
      <c r="F107" s="34">
        <f t="shared" si="3"/>
        <v>-322010</v>
      </c>
      <c r="G107" s="27">
        <f>E107*((1+B7)/(1+B8)-1)</f>
        <v>3986327.4725905</v>
      </c>
      <c r="H107" s="27">
        <f t="shared" si="4"/>
        <v>94463998.7927069</v>
      </c>
      <c r="I107" s="33" t="str">
        <f t="shared" si="5"/>
        <v>已达成</v>
      </c>
    </row>
    <row r="108" ht="14.5" spans="1:9">
      <c r="A108" s="32">
        <v>54</v>
      </c>
      <c r="B108" s="32">
        <f ca="1" t="shared" si="0"/>
        <v>2079</v>
      </c>
      <c r="C108" s="32">
        <f t="shared" si="1"/>
        <v>100</v>
      </c>
      <c r="D108" s="33" t="str">
        <f t="shared" si="2"/>
        <v>领取期</v>
      </c>
      <c r="E108" s="27">
        <f t="shared" si="6"/>
        <v>94463998.7927069</v>
      </c>
      <c r="F108" s="34">
        <f t="shared" si="3"/>
        <v>-322010</v>
      </c>
      <c r="G108" s="27">
        <f>E108*((1+B7)/(1+B8)-1)</f>
        <v>4147199.94699691</v>
      </c>
      <c r="H108" s="27">
        <f t="shared" si="4"/>
        <v>98289188.7397038</v>
      </c>
      <c r="I108" s="33" t="str">
        <f t="shared" si="5"/>
        <v>已达成</v>
      </c>
    </row>
  </sheetData>
  <mergeCells count="8">
    <mergeCell ref="A1:H1"/>
    <mergeCell ref="A2:H2"/>
    <mergeCell ref="A3:H3"/>
    <mergeCell ref="A20:H20"/>
    <mergeCell ref="A33:H33"/>
    <mergeCell ref="A41:H41"/>
    <mergeCell ref="A48:H48"/>
    <mergeCell ref="A53:H53"/>
  </mergeCells>
  <dataValidations count="1">
    <dataValidation type="list" sqref="B11 B19 B16:B17">
      <formula1>"是,否"</formula1>
    </dataValidation>
  </dataValidation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08080"/>
  </sheetPr>
  <dimension ref="A1:C45"/>
  <sheetViews>
    <sheetView workbookViewId="0">
      <selection activeCell="C7" sqref="C7"/>
    </sheetView>
  </sheetViews>
  <sheetFormatPr defaultColWidth="9" defaultRowHeight="14" outlineLevelCol="2"/>
  <cols>
    <col min="1" max="1" width="4" customWidth="1"/>
    <col min="2" max="2" width="22" customWidth="1"/>
    <col min="3" max="3" width="100" customWidth="1"/>
  </cols>
  <sheetData>
    <row r="1" ht="26" customHeight="1" spans="1:3">
      <c r="A1" s="1" t="s">
        <v>436</v>
      </c>
    </row>
    <row r="2" ht="16" customHeight="1" spans="1:3">
      <c r="A2" s="2" t="s">
        <v>437</v>
      </c>
    </row>
    <row r="3" ht="20" customHeight="1" spans="1:3">
      <c r="A3" s="3" t="s">
        <v>438</v>
      </c>
    </row>
    <row r="4" ht="17" customHeight="1" spans="1:3">
      <c r="A4" s="4" t="s">
        <v>13</v>
      </c>
      <c r="B4" s="5" t="s">
        <v>439</v>
      </c>
      <c r="C4" s="6" t="s">
        <v>440</v>
      </c>
    </row>
    <row r="5" ht="17" customHeight="1" spans="1:3">
      <c r="A5" s="4" t="s">
        <v>13</v>
      </c>
      <c r="B5" s="5" t="s">
        <v>441</v>
      </c>
      <c r="C5" s="6" t="s">
        <v>442</v>
      </c>
    </row>
    <row r="6" ht="17" customHeight="1" spans="1:3">
      <c r="A6" s="4" t="s">
        <v>13</v>
      </c>
      <c r="B6" s="5" t="s">
        <v>443</v>
      </c>
      <c r="C6" s="6" t="s">
        <v>444</v>
      </c>
    </row>
    <row r="7" ht="17" customHeight="1" spans="1:3">
      <c r="A7" s="4" t="s">
        <v>13</v>
      </c>
      <c r="B7" s="5" t="s">
        <v>445</v>
      </c>
      <c r="C7" s="6" t="s">
        <v>446</v>
      </c>
    </row>
    <row r="8" ht="17" customHeight="1" spans="1:3">
      <c r="A8" s="4" t="s">
        <v>13</v>
      </c>
      <c r="B8" s="5" t="s">
        <v>447</v>
      </c>
      <c r="C8" s="6" t="s">
        <v>448</v>
      </c>
    </row>
    <row r="9" ht="17" customHeight="1" spans="1:3">
      <c r="A9" s="4" t="s">
        <v>13</v>
      </c>
      <c r="B9" s="5" t="s">
        <v>449</v>
      </c>
      <c r="C9" s="6" t="s">
        <v>450</v>
      </c>
    </row>
    <row r="10" ht="17" customHeight="1" spans="1:3">
      <c r="A10" s="4" t="s">
        <v>13</v>
      </c>
      <c r="B10" s="5" t="s">
        <v>451</v>
      </c>
      <c r="C10" s="6" t="s">
        <v>452</v>
      </c>
    </row>
    <row r="11" ht="17" customHeight="1" spans="1:3">
      <c r="A11" s="4" t="s">
        <v>13</v>
      </c>
      <c r="B11" s="5" t="s">
        <v>453</v>
      </c>
      <c r="C11" s="6" t="s">
        <v>454</v>
      </c>
    </row>
    <row r="12" ht="20" customHeight="1" spans="1:3">
      <c r="A12" s="3" t="s">
        <v>455</v>
      </c>
    </row>
    <row r="13" ht="17" customHeight="1" spans="1:3">
      <c r="A13" s="4" t="s">
        <v>13</v>
      </c>
      <c r="B13" s="5" t="s">
        <v>456</v>
      </c>
      <c r="C13" s="6" t="s">
        <v>457</v>
      </c>
    </row>
    <row r="14" ht="17" customHeight="1" spans="1:3">
      <c r="A14" s="4" t="s">
        <v>13</v>
      </c>
      <c r="B14" s="5" t="s">
        <v>458</v>
      </c>
      <c r="C14" s="6" t="s">
        <v>459</v>
      </c>
    </row>
    <row r="15" ht="17" customHeight="1" spans="1:3">
      <c r="A15" s="4" t="s">
        <v>13</v>
      </c>
      <c r="B15" s="5" t="s">
        <v>460</v>
      </c>
      <c r="C15" s="6" t="s">
        <v>461</v>
      </c>
    </row>
    <row r="16" ht="20" customHeight="1" spans="1:3">
      <c r="A16" s="3" t="s">
        <v>462</v>
      </c>
    </row>
    <row r="17" ht="17" customHeight="1" spans="1:3">
      <c r="A17" s="4" t="s">
        <v>13</v>
      </c>
      <c r="B17" s="5" t="s">
        <v>463</v>
      </c>
      <c r="C17" s="6" t="s">
        <v>464</v>
      </c>
    </row>
    <row r="18" ht="17" customHeight="1" spans="1:3">
      <c r="A18" s="4" t="s">
        <v>13</v>
      </c>
      <c r="B18" s="5" t="s">
        <v>465</v>
      </c>
      <c r="C18" s="6" t="s">
        <v>466</v>
      </c>
    </row>
    <row r="19" ht="17" customHeight="1" spans="1:3">
      <c r="A19" s="4" t="s">
        <v>13</v>
      </c>
      <c r="B19" s="5" t="s">
        <v>467</v>
      </c>
      <c r="C19" s="6" t="s">
        <v>468</v>
      </c>
    </row>
    <row r="20" ht="17" customHeight="1" spans="1:3">
      <c r="A20" s="4" t="s">
        <v>13</v>
      </c>
      <c r="B20" s="5" t="s">
        <v>469</v>
      </c>
      <c r="C20" s="6" t="s">
        <v>470</v>
      </c>
    </row>
    <row r="21" ht="17" customHeight="1" spans="1:3">
      <c r="A21" s="4" t="s">
        <v>13</v>
      </c>
      <c r="B21" s="5" t="s">
        <v>471</v>
      </c>
      <c r="C21" s="6" t="s">
        <v>472</v>
      </c>
    </row>
    <row r="22" ht="17" customHeight="1" spans="1:3">
      <c r="A22" s="4" t="s">
        <v>13</v>
      </c>
      <c r="B22" s="5" t="s">
        <v>473</v>
      </c>
      <c r="C22" s="6" t="s">
        <v>474</v>
      </c>
    </row>
    <row r="23" ht="20" customHeight="1" spans="1:3">
      <c r="A23" s="3" t="s">
        <v>475</v>
      </c>
    </row>
    <row r="24" ht="17" customHeight="1" spans="1:3">
      <c r="A24" s="4" t="s">
        <v>13</v>
      </c>
      <c r="B24" s="5" t="s">
        <v>476</v>
      </c>
      <c r="C24" s="6" t="s">
        <v>477</v>
      </c>
    </row>
    <row r="25" ht="17" customHeight="1" spans="1:3">
      <c r="A25" s="4" t="s">
        <v>13</v>
      </c>
      <c r="B25" s="5" t="s">
        <v>478</v>
      </c>
      <c r="C25" s="6" t="s">
        <v>479</v>
      </c>
    </row>
    <row r="26" ht="20" customHeight="1" spans="1:3">
      <c r="A26" s="3" t="s">
        <v>480</v>
      </c>
    </row>
    <row r="27" ht="17" customHeight="1" spans="1:3">
      <c r="A27" s="4" t="s">
        <v>13</v>
      </c>
      <c r="B27" s="5" t="s">
        <v>481</v>
      </c>
      <c r="C27" s="6" t="s">
        <v>482</v>
      </c>
    </row>
    <row r="28" ht="17" customHeight="1" spans="1:3">
      <c r="A28" s="4" t="s">
        <v>13</v>
      </c>
      <c r="B28" s="5" t="s">
        <v>483</v>
      </c>
      <c r="C28" s="6" t="s">
        <v>484</v>
      </c>
    </row>
    <row r="29" ht="17" customHeight="1" spans="1:3">
      <c r="A29" s="4" t="s">
        <v>13</v>
      </c>
      <c r="B29" s="5" t="s">
        <v>485</v>
      </c>
      <c r="C29" s="6" t="s">
        <v>486</v>
      </c>
    </row>
    <row r="30" ht="17" customHeight="1" spans="1:3">
      <c r="A30" s="4" t="s">
        <v>13</v>
      </c>
      <c r="B30" s="5" t="s">
        <v>487</v>
      </c>
      <c r="C30" s="6" t="s">
        <v>488</v>
      </c>
    </row>
    <row r="31" ht="17" customHeight="1" spans="1:3">
      <c r="A31" s="4" t="s">
        <v>13</v>
      </c>
      <c r="B31" s="5" t="s">
        <v>489</v>
      </c>
      <c r="C31" s="6" t="s">
        <v>490</v>
      </c>
    </row>
    <row r="32" ht="17" customHeight="1" spans="1:3">
      <c r="A32" s="4" t="s">
        <v>13</v>
      </c>
      <c r="B32" s="5" t="s">
        <v>491</v>
      </c>
      <c r="C32" s="6" t="s">
        <v>492</v>
      </c>
    </row>
    <row r="33" ht="17" customHeight="1" spans="1:3">
      <c r="A33" s="4" t="s">
        <v>13</v>
      </c>
      <c r="B33" s="5" t="s">
        <v>493</v>
      </c>
      <c r="C33" s="6" t="s">
        <v>494</v>
      </c>
    </row>
    <row r="34" ht="17" customHeight="1" spans="1:3">
      <c r="A34" s="4" t="s">
        <v>13</v>
      </c>
      <c r="B34" s="5" t="s">
        <v>495</v>
      </c>
      <c r="C34" s="6" t="s">
        <v>496</v>
      </c>
    </row>
    <row r="35" ht="17" customHeight="1" spans="1:3">
      <c r="A35" s="4" t="s">
        <v>13</v>
      </c>
      <c r="B35" s="5" t="s">
        <v>206</v>
      </c>
      <c r="C35" s="6" t="s">
        <v>497</v>
      </c>
    </row>
    <row r="36" ht="17" customHeight="1" spans="1:3">
      <c r="A36" s="4" t="s">
        <v>13</v>
      </c>
      <c r="B36" s="5" t="s">
        <v>216</v>
      </c>
      <c r="C36" s="6" t="s">
        <v>498</v>
      </c>
    </row>
    <row r="37" ht="17" customHeight="1" spans="1:3">
      <c r="A37" s="4" t="s">
        <v>13</v>
      </c>
      <c r="B37" s="5" t="s">
        <v>499</v>
      </c>
      <c r="C37" s="6" t="s">
        <v>500</v>
      </c>
    </row>
    <row r="38" ht="17" customHeight="1" spans="1:3">
      <c r="A38" s="4" t="s">
        <v>13</v>
      </c>
      <c r="B38" s="5" t="s">
        <v>501</v>
      </c>
      <c r="C38" s="6" t="s">
        <v>502</v>
      </c>
    </row>
    <row r="39" ht="17" customHeight="1" spans="1:3">
      <c r="A39" s="4" t="s">
        <v>13</v>
      </c>
      <c r="B39" s="5" t="s">
        <v>503</v>
      </c>
      <c r="C39" s="6" t="s">
        <v>504</v>
      </c>
    </row>
    <row r="40" ht="17" customHeight="1" spans="1:3">
      <c r="A40" s="4" t="s">
        <v>13</v>
      </c>
      <c r="B40" s="5" t="s">
        <v>97</v>
      </c>
      <c r="C40" s="6" t="s">
        <v>505</v>
      </c>
    </row>
    <row r="41" ht="20" customHeight="1" spans="1:3">
      <c r="A41" s="3" t="s">
        <v>506</v>
      </c>
    </row>
    <row r="42" ht="17" customHeight="1" spans="1:3">
      <c r="A42" s="4" t="s">
        <v>13</v>
      </c>
      <c r="B42" s="5" t="s">
        <v>507</v>
      </c>
      <c r="C42" s="6" t="s">
        <v>508</v>
      </c>
    </row>
    <row r="43" ht="17" customHeight="1" spans="1:3">
      <c r="A43" s="4" t="s">
        <v>13</v>
      </c>
      <c r="B43" s="5" t="s">
        <v>509</v>
      </c>
      <c r="C43" s="6" t="s">
        <v>510</v>
      </c>
    </row>
    <row r="44" ht="17" customHeight="1" spans="1:3">
      <c r="A44" s="4" t="s">
        <v>13</v>
      </c>
      <c r="B44" s="5" t="s">
        <v>511</v>
      </c>
      <c r="C44" s="6" t="s">
        <v>512</v>
      </c>
    </row>
    <row r="45" ht="17" customHeight="1" spans="1:3">
      <c r="A45" s="4" t="s">
        <v>13</v>
      </c>
      <c r="B45" s="5" t="s">
        <v>513</v>
      </c>
      <c r="C45" s="6" t="s">
        <v>514</v>
      </c>
    </row>
  </sheetData>
  <mergeCells count="8">
    <mergeCell ref="A1:C1"/>
    <mergeCell ref="A2:C2"/>
    <mergeCell ref="A3:C3"/>
    <mergeCell ref="A12:C12"/>
    <mergeCell ref="A16:C16"/>
    <mergeCell ref="A23:C23"/>
    <mergeCell ref="A26:C26"/>
    <mergeCell ref="A41:C4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总览看板</vt:lpstr>
      <vt:lpstr>资产明细</vt:lpstr>
      <vt:lpstr>保险权益与现金流</vt:lpstr>
      <vt:lpstr>教育金规划</vt:lpstr>
      <vt:lpstr>收支记账</vt:lpstr>
      <vt:lpstr>收支流水</vt:lpstr>
      <vt:lpstr>月度净值跟踪</vt:lpstr>
      <vt:lpstr>FIRE测算</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Anson</cp:lastModifiedBy>
  <dcterms:created xsi:type="dcterms:W3CDTF">2026-09-13T08:27:00Z</dcterms:created>
  <dcterms:modified xsi:type="dcterms:W3CDTF">2026-09-15T14:31:28Z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1DDD81F0AB0440EC9404DF435E8E212A_12</vt:lpwstr>
  </property>
  <property fmtid="{D5CDD505-2E9C-101B-9397-08002B2CF9AE}" pid="3" name="KSOProductBuildVer">
    <vt:lpwstr>2052-12.1.0.28043</vt:lpwstr>
  </property>
  <property fmtid="{D5CDD505-2E9C-101B-9397-08002B2CF9AE}" pid="4" name="CalculationRule">
    <vt:i4>0</vt:i4>
  </property>
</Properties>
</file>